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25"/>
  <workbookPr hidePivotFieldList="1" defaultThemeVersion="166925"/>
  <mc:AlternateContent xmlns:mc="http://schemas.openxmlformats.org/markup-compatibility/2006">
    <mc:Choice Requires="x15">
      <x15ac:absPath xmlns:x15ac="http://schemas.microsoft.com/office/spreadsheetml/2010/11/ac" url="C:\Users\dell\Desktop\"/>
    </mc:Choice>
  </mc:AlternateContent>
  <xr:revisionPtr revIDLastSave="0" documentId="8_{4607C1C0-C0D9-4C6A-957B-C2B8910F90FA}" xr6:coauthVersionLast="34" xr6:coauthVersionMax="34" xr10:uidLastSave="{00000000-0000-0000-0000-000000000000}"/>
  <bookViews>
    <workbookView xWindow="0" yWindow="0" windowWidth="20490" windowHeight="8940" firstSheet="1" activeTab="9" xr2:uid="{956984F7-5FA1-47E7-88AD-51526E0F18F5}"/>
  </bookViews>
  <sheets>
    <sheet name="Sheet5" sheetId="5" r:id="rId1"/>
    <sheet name="Sheet6" sheetId="6" r:id="rId2"/>
    <sheet name="Sheet7" sheetId="7" r:id="rId3"/>
    <sheet name="Sheet2" sheetId="8" r:id="rId4"/>
    <sheet name="Sheet3" sheetId="9" r:id="rId5"/>
    <sheet name="Sheet8" sheetId="10" r:id="rId6"/>
    <sheet name="Sheet9" sheetId="11" r:id="rId7"/>
    <sheet name="Sheet10" sheetId="12" r:id="rId8"/>
    <sheet name="Sheet4" sheetId="4" r:id="rId9"/>
    <sheet name="Sheet1" sheetId="1" r:id="rId10"/>
  </sheets>
  <definedNames>
    <definedName name="ExternalData_3" localSheetId="8" hidden="1">Sheet4!$A$1:$O$21</definedName>
    <definedName name="Slicer_Month_Name">#N/A</definedName>
    <definedName name="Slicer_Product">#N/A</definedName>
    <definedName name="Slicer_Region">#N/A</definedName>
  </definedNames>
  <calcPr calcId="179021"/>
  <pivotCaches>
    <pivotCache cacheId="5" r:id="rId11"/>
  </pivotCaches>
  <fileRecoveryPr repairLoad="1"/>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CB3071-FE92-4702-824B-8572CF06ADF5}" keepAlive="1" name="Query - Table1" description="Connection to the 'Table1' query in the workbook." type="5" refreshedVersion="6" background="1">
    <dbPr connection="Provider=Microsoft.Mashup.OleDb.1;Data Source=$Workbook$;Location=Table1;Extended Properties=&quot;&quot;" command="SELECT * FROM [Table1]"/>
  </connection>
  <connection id="2" xr16:uid="{6B1D27E3-1F45-4475-9C82-852C11CE5ECE}" keepAlive="1" name="Query - Table1_2" description="Connection to the 'Table1_2' query in the workbook." type="5" refreshedVersion="6" background="1">
    <dbPr connection="Provider=Microsoft.Mashup.OleDb.1;Data Source=$Workbook$;Location=Table1_2;Extended Properties=&quot;&quot;" command="SELECT * FROM [Table1_2]"/>
  </connection>
  <connection id="3" xr16:uid="{AC3F8880-8DBB-46ED-A8CC-84AF12E55E55}" keepAlive="1" name="Query - Table1_3" description="Connection to the 'Table1_3' query in the workbook." type="5" refreshedVersion="6" background="1" saveData="1">
    <dbPr connection="Provider=Microsoft.Mashup.OleDb.1;Data Source=$Workbook$;Location=Table1_3;Extended Properties=&quot;&quot;" command="SELECT * FROM [Table1_3]"/>
  </connection>
</connections>
</file>

<file path=xl/sharedStrings.xml><?xml version="1.0" encoding="utf-8"?>
<sst xmlns="http://schemas.openxmlformats.org/spreadsheetml/2006/main" count="176" uniqueCount="44">
  <si>
    <t>Order_ID</t>
  </si>
  <si>
    <t>Order_Date</t>
  </si>
  <si>
    <t>Customer_Name</t>
  </si>
  <si>
    <t>Region</t>
  </si>
  <si>
    <t>Product</t>
  </si>
  <si>
    <t>Category</t>
  </si>
  <si>
    <t>Units</t>
  </si>
  <si>
    <t>Unit_Price</t>
  </si>
  <si>
    <t>Discount</t>
  </si>
  <si>
    <t>Aman Sharma</t>
  </si>
  <si>
    <t>North</t>
  </si>
  <si>
    <t>Laptop</t>
  </si>
  <si>
    <t>Electronics</t>
  </si>
  <si>
    <t>Riya Khan</t>
  </si>
  <si>
    <t>South</t>
  </si>
  <si>
    <t>Mouse</t>
  </si>
  <si>
    <t>Accessories</t>
  </si>
  <si>
    <t>Kabir Ali</t>
  </si>
  <si>
    <t>East</t>
  </si>
  <si>
    <t>Keyboard</t>
  </si>
  <si>
    <t>Sana Verma</t>
  </si>
  <si>
    <t>West</t>
  </si>
  <si>
    <t>Monitor</t>
  </si>
  <si>
    <t>Neha Singh</t>
  </si>
  <si>
    <t>Printer</t>
  </si>
  <si>
    <t>Rohit Kumar</t>
  </si>
  <si>
    <t>Headphone</t>
  </si>
  <si>
    <t>Revenue</t>
  </si>
  <si>
    <t>Month Name</t>
  </si>
  <si>
    <t>Year</t>
  </si>
  <si>
    <t>Cost</t>
  </si>
  <si>
    <t>Profit</t>
  </si>
  <si>
    <t>Margine_%</t>
  </si>
  <si>
    <t>January</t>
  </si>
  <si>
    <t>February</t>
  </si>
  <si>
    <t>March</t>
  </si>
  <si>
    <t>Sum of Revenue</t>
  </si>
  <si>
    <t>Sum of Profit</t>
  </si>
  <si>
    <t>Count of Order_ID</t>
  </si>
  <si>
    <t>Average of Revenue2</t>
  </si>
  <si>
    <t>Row Labels</t>
  </si>
  <si>
    <t>Grand Total</t>
  </si>
  <si>
    <t>Max of Unit_Price</t>
  </si>
  <si>
    <t>Sum of MARGINE%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</si>
</sst>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 x14ac:knownFonts="1">
    <font>
      <sz val="11"/>
      <color theme="1"/>
      <name val="Calibri"/>
      <family val="2"/>
      <scheme val="minor"/>
    </font>
  </fonts>
  <fills count="3">
    <fill>
      <patternFill patternType="none"/>
    </fill>
    <fill>
      <patternFill patternType="gray125"/>
    </fill>
    <fill>
      <patternFill patternType="solid">
        <fgColor theme="2" tint="-0.749992370372631"/>
        <bgColor indexed="64"/>
      </patternFill>
    </fill>
  </fills>
  <borders count="1">
    <border>
      <left/>
      <right/>
      <top/>
      <bottom/>
      <diagonal/>
    </border>
  </borders>
  <cellStyleXfs count="1">
    <xf numFmtId="0" fontId="0" fillId="0" borderId="0"/>
  </cellStyleXfs>
  <cellXfs count="10">
    <xf numFmtId="0" fontId="0" fillId="0" borderId="0" xfId="0"/>
    <xf numFmtId="14" fontId="0" fillId="0" borderId="0" xfId="0" applyNumberFormat="1"/>
    <xf numFmtId="0"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2" borderId="0" xfId="0" applyFill="1" applyAlignment="1">
      <alignment horizontal="center"/>
    </xf>
    <xf numFmtId="14" fontId="0" fillId="2" borderId="0" xfId="0" applyNumberFormat="1" applyFill="1" applyAlignment="1">
      <alignment horizontal="center"/>
    </xf>
    <xf numFmtId="10" fontId="0" fillId="0" borderId="0" xfId="0" applyNumberFormat="1"/>
  </cellXfs>
  <cellStyles count="1">
    <cellStyle name="Normal" xfId="0" builtinId="0"/>
  </cellStyles>
  <dxfs count="12">
    <dxf>
      <numFmt numFmtId="164" formatCode="&quot;₹&quot;\ #,##0.0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64" formatCode="&quot;₹&quot;\ #,##0.00"/>
    </dxf>
    <dxf>
      <numFmt numFmtId="164" formatCode="&quot;₹&quot;\ #,##0.00"/>
    </dxf>
    <dxf>
      <numFmt numFmtId="0" formatCode="General"/>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[excel_e-commers_analytic_project_dashboard.xlsx]Sheet6!PivotTable4</c:name>
    <c:fmtId val="0"/>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none"/>
        </c:marker>
      </c:pivotFmt>
    </c:pivotFmts>
    <c:plotArea>
      <c:layout/>
      <c:barChart>
        <c:barDir val="col"/>
        <c:grouping val="clustered"/>
        <c:varyColors val="0"/>
        <c:ser>
          <c:idx val="0"/>
          <c:order val="0"/>
          <c:tx>
            <c:strRef>
              <c:f>Sheet6!$B$3</c:f>
              <c:strCache>
                <c:ptCount val="1"/>
                <c:pt idx="0">
                  <c:v>Total</c:v>
                </c:pt>
              </c:strCache>
            </c:strRef>
          </c:tx>
          <c:spPr>
            <a:pattFill prst="ltUpDiag">
              <a:fgClr>
                <a:schemeClr val="accent1"/>
              </a:fgClr>
              <a:bgClr>
                <a:schemeClr val="lt1"/>
              </a:bgClr>
            </a:pattFill>
            <a:ln>
              <a:noFill/>
            </a:ln>
            <a:effectLst/>
          </c:spPr>
          <c:invertIfNegative val="0"/>
          <c:cat>
            <c:strRef>
              <c:f>Sheet6!$A$4:$A$8</c:f>
              <c:strCache>
                <c:ptCount val="4"/>
                <c:pt idx="0">
                  <c:v>East</c:v>
                </c:pt>
                <c:pt idx="1">
                  <c:v>North</c:v>
                </c:pt>
                <c:pt idx="2">
                  <c:v>South</c:v>
                </c:pt>
                <c:pt idx="3">
                  <c:v>West</c:v>
                </c:pt>
              </c:strCache>
            </c:strRef>
          </c:cat>
          <c:val>
            <c:numRef>
              <c:f>Sheet6!$B$4:$B$8</c:f>
              <c:numCache>
                <c:formatCode>"₹"\ #,##0.00</c:formatCode>
                <c:ptCount val="4"/>
                <c:pt idx="0">
                  <c:v>136480</c:v>
                </c:pt>
                <c:pt idx="1">
                  <c:v>255375</c:v>
                </c:pt>
                <c:pt idx="2">
                  <c:v>82930</c:v>
                </c:pt>
                <c:pt idx="3">
                  <c:v>60750</c:v>
                </c:pt>
              </c:numCache>
            </c:numRef>
          </c:val>
          <c:extLst>
            <c:ext xmlns:c16="http://schemas.microsoft.com/office/drawing/2014/chart" uri="{C3380CC4-5D6E-409C-BE32-E72D297353CC}">
              <c16:uniqueId val="{00000000-8D4B-4C0F-BAB2-D1D941A8F9AE}"/>
            </c:ext>
          </c:extLst>
        </c:ser>
        <c:dLbls>
          <c:showLegendKey val="0"/>
          <c:showVal val="0"/>
          <c:showCatName val="0"/>
          <c:showSerName val="0"/>
          <c:showPercent val="0"/>
          <c:showBubbleSize val="0"/>
        </c:dLbls>
        <c:gapWidth val="269"/>
        <c:overlap val="-20"/>
        <c:axId val="585060799"/>
        <c:axId val="467731119"/>
      </c:barChart>
      <c:catAx>
        <c:axId val="585060799"/>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467731119"/>
        <c:crosses val="autoZero"/>
        <c:auto val="1"/>
        <c:lblAlgn val="ctr"/>
        <c:lblOffset val="100"/>
        <c:noMultiLvlLbl val="0"/>
      </c:catAx>
      <c:valAx>
        <c:axId val="467731119"/>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850607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[excel_e-commers_analytic_project_dashboard.xlsx]Sheet7!PivotTable5</c:name>
    <c:fmtId val="0"/>
  </c:pivotSource>
  <c:chart>
    <c:title>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Sheet7!$B$3</c:f>
              <c:strCache>
                <c:ptCount val="1"/>
                <c:pt idx="0">
                  <c:v>Total</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Sheet7!$A$4:$A$10</c:f>
              <c:strCache>
                <c:ptCount val="6"/>
                <c:pt idx="0">
                  <c:v>Headphone</c:v>
                </c:pt>
                <c:pt idx="1">
                  <c:v>Keyboard</c:v>
                </c:pt>
                <c:pt idx="2">
                  <c:v>Laptop</c:v>
                </c:pt>
                <c:pt idx="3">
                  <c:v>Monitor</c:v>
                </c:pt>
                <c:pt idx="4">
                  <c:v>Mouse</c:v>
                </c:pt>
                <c:pt idx="5">
                  <c:v>Printer</c:v>
                </c:pt>
              </c:strCache>
            </c:strRef>
          </c:cat>
          <c:val>
            <c:numRef>
              <c:f>Sheet7!$B$4:$B$10</c:f>
              <c:numCache>
                <c:formatCode>"₹"\ #,##0.00</c:formatCode>
                <c:ptCount val="6"/>
                <c:pt idx="0">
                  <c:v>12825</c:v>
                </c:pt>
                <c:pt idx="1">
                  <c:v>9217.5</c:v>
                </c:pt>
                <c:pt idx="2">
                  <c:v>93972</c:v>
                </c:pt>
                <c:pt idx="3">
                  <c:v>21000</c:v>
                </c:pt>
                <c:pt idx="4">
                  <c:v>9279</c:v>
                </c:pt>
                <c:pt idx="5">
                  <c:v>14367.000000000002</c:v>
                </c:pt>
              </c:numCache>
            </c:numRef>
          </c:val>
          <c:extLst>
            <c:ext xmlns:c16="http://schemas.microsoft.com/office/drawing/2014/chart" uri="{C3380CC4-5D6E-409C-BE32-E72D297353CC}">
              <c16:uniqueId val="{00000000-F862-4F94-93B5-D96054284244}"/>
            </c:ext>
          </c:extLst>
        </c:ser>
        <c:dLbls>
          <c:showLegendKey val="0"/>
          <c:showVal val="1"/>
          <c:showCatName val="0"/>
          <c:showSerName val="0"/>
          <c:showPercent val="0"/>
          <c:showBubbleSize val="0"/>
        </c:dLbls>
        <c:gapWidth val="84"/>
        <c:gapDepth val="53"/>
        <c:shape val="box"/>
        <c:axId val="650919871"/>
        <c:axId val="467725711"/>
        <c:axId val="0"/>
      </c:bar3DChart>
      <c:catAx>
        <c:axId val="65091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7725711"/>
        <c:crosses val="autoZero"/>
        <c:auto val="1"/>
        <c:lblAlgn val="ctr"/>
        <c:lblOffset val="100"/>
        <c:noMultiLvlLbl val="0"/>
      </c:catAx>
      <c:valAx>
        <c:axId val="467725711"/>
        <c:scaling>
          <c:orientation val="minMax"/>
        </c:scaling>
        <c:delete val="1"/>
        <c:axPos val="b"/>
        <c:numFmt formatCode="&quot;₹&quot;\ #,##0.00" sourceLinked="1"/>
        <c:majorTickMark val="out"/>
        <c:minorTickMark val="none"/>
        <c:tickLblPos val="nextTo"/>
        <c:crossAx val="650919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[excel_e-commers_analytic_project_dashboard.xlsx]Sheet2!PivotTable1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Sheet2!$B$3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Ref>
              <c:f>Sheet2!$A$4:$A$7</c:f>
              <c:strCache>
                <c:ptCount val="3"/>
                <c:pt idx="0">
                  <c:v>January</c:v>
                </c:pt>
                <c:pt idx="1">
                  <c:v>February</c:v>
                </c:pt>
                <c:pt idx="2">
                  <c:v>March</c:v>
                </c:pt>
              </c:strCache>
            </c:strRef>
          </c:cat>
          <c:val>
            <c:numRef>
              <c:f>Sheet2!$B$4:$B$7</c:f>
              <c:numCache>
                <c:formatCode>General</c:formatCode>
                <c:ptCount val="3"/>
                <c:pt idx="0">
                  <c:v>143700</c:v>
                </c:pt>
                <c:pt idx="1">
                  <c:v>266345</c:v>
                </c:pt>
                <c:pt idx="2">
                  <c:v>125490</c:v>
                </c:pt>
              </c:numCache>
            </c:numRef>
          </c:val>
          <c:smooth val="0"/>
          <c:extLst>
            <c:ext xmlns:c16="http://schemas.microsoft.com/office/drawing/2014/chart" uri="{C3380CC4-5D6E-409C-BE32-E72D297353CC}">
              <c16:uniqueId val="{00000000-9D48-4E20-B1A8-41184265093A}"/>
            </c:ext>
          </c:extLst>
        </c:ser>
        <c:dLbls>
          <c:showLegendKey val="0"/>
          <c:showVal val="0"/>
          <c:showCatName val="0"/>
          <c:showSerName val="0"/>
          <c:showPercent val="0"/>
          <c:showBubbleSize val="0"/>
        </c:dLbls>
        <c:axId val="4818368"/>
        <c:axId val="558238768"/>
        <c:axId val="542583872"/>
      </c:line3DChart>
      <c:catAx>
        <c:axId val="4818368"/>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238768"/>
        <c:crosses val="autoZero"/>
        <c:auto val="1"/>
        <c:lblAlgn val="ctr"/>
        <c:lblOffset val="100"/>
        <c:noMultiLvlLbl val="0"/>
      </c:catAx>
      <c:valAx>
        <c:axId val="55823876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18368"/>
        <c:crosses val="autoZero"/>
        <c:crossBetween val="between"/>
      </c:valAx>
      <c:serAx>
        <c:axId val="54258387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2387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[excel_e-commers_analytic_project_dashboard.xlsx]Sheet6!PivotTable4</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Regional</a:t>
            </a:r>
            <a:r>
              <a:rPr lang="en-US" baseline="0"/>
              <a:t> Revenue Analysis</a:t>
            </a:r>
            <a:endParaRPr lang="en-US"/>
          </a:p>
        </c:rich>
      </c:tx>
      <c:layout>
        <c:manualLayout>
          <c:xMode val="edge"/>
          <c:yMode val="edge"/>
          <c:x val="0.15584601924759406"/>
          <c:y val="0.11171789010244687"/>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Sheet6!$A$4:$A$8</c:f>
              <c:strCache>
                <c:ptCount val="4"/>
                <c:pt idx="0">
                  <c:v>East</c:v>
                </c:pt>
                <c:pt idx="1">
                  <c:v>North</c:v>
                </c:pt>
                <c:pt idx="2">
                  <c:v>South</c:v>
                </c:pt>
                <c:pt idx="3">
                  <c:v>West</c:v>
                </c:pt>
              </c:strCache>
            </c:strRef>
          </c:cat>
          <c:val>
            <c:numRef>
              <c:f>Sheet6!$B$4:$B$8</c:f>
              <c:numCache>
                <c:formatCode>"₹"\ #,##0.00</c:formatCode>
                <c:ptCount val="4"/>
                <c:pt idx="0">
                  <c:v>136480</c:v>
                </c:pt>
                <c:pt idx="1">
                  <c:v>255375</c:v>
                </c:pt>
                <c:pt idx="2">
                  <c:v>82930</c:v>
                </c:pt>
                <c:pt idx="3">
                  <c:v>60750</c:v>
                </c:pt>
              </c:numCache>
            </c:numRef>
          </c:val>
          <c:extLst>
            <c:ext xmlns:c16="http://schemas.microsoft.com/office/drawing/2014/chart" uri="{C3380CC4-5D6E-409C-BE32-E72D297353CC}">
              <c16:uniqueId val="{00000000-9066-474F-BD1C-5253AA92295D}"/>
            </c:ext>
          </c:extLst>
        </c:ser>
        <c:dLbls>
          <c:dLblPos val="inEnd"/>
          <c:showLegendKey val="0"/>
          <c:showVal val="1"/>
          <c:showCatName val="0"/>
          <c:showSerName val="0"/>
          <c:showPercent val="0"/>
          <c:showBubbleSize val="0"/>
        </c:dLbls>
        <c:gapWidth val="100"/>
        <c:overlap val="-24"/>
        <c:axId val="585060799"/>
        <c:axId val="467731119"/>
      </c:barChart>
      <c:catAx>
        <c:axId val="5850607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7731119"/>
        <c:crosses val="autoZero"/>
        <c:auto val="1"/>
        <c:lblAlgn val="ctr"/>
        <c:lblOffset val="100"/>
        <c:noMultiLvlLbl val="0"/>
      </c:catAx>
      <c:valAx>
        <c:axId val="467731119"/>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85060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[excel_e-commers_analytic_project_dashboard.xlsx]Sheet7!PivotTable5</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IN"/>
              <a:t>Product Profitability Dashboard</a:t>
            </a:r>
          </a:p>
        </c:rich>
      </c:tx>
      <c:layout>
        <c:manualLayout>
          <c:xMode val="edge"/>
          <c:yMode val="edge"/>
          <c:x val="0.19993616476716702"/>
          <c:y val="3.1072728812124296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6"/>
            </a:solidFill>
            <a:ln w="9525">
              <a:solidFill>
                <a:schemeClr val="dk1">
                  <a:lumMod val="75000"/>
                  <a:lumOff val="25000"/>
                </a:schemeClr>
              </a:solidFill>
            </a:ln>
            <a:effectLst/>
          </c:spPr>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marker>
          <c:symbol val="none"/>
        </c:marker>
        <c:dLbl>
          <c:idx val="0"/>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dLbl>
          <c:idx val="0"/>
          <c:layout>
            <c:manualLayout>
              <c:x val="-1.0600534746240831E-2"/>
              <c:y val="0"/>
            </c:manualLayout>
          </c:layout>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521873102382278"/>
          <c:y val="0.13864871729743461"/>
          <c:w val="0.71982012737918255"/>
          <c:h val="0.83148293963254605"/>
        </c:manualLayout>
      </c:layout>
      <c:bar3DChart>
        <c:barDir val="bar"/>
        <c:grouping val="clustered"/>
        <c:varyColors val="0"/>
        <c:ser>
          <c:idx val="0"/>
          <c:order val="0"/>
          <c:tx>
            <c:strRef>
              <c:f>Sheet7!$B$3</c:f>
              <c:strCache>
                <c:ptCount val="1"/>
                <c:pt idx="0">
                  <c:v>Total</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dPt>
            <c:idx val="2"/>
            <c:invertIfNegative val="0"/>
            <c:bubble3D val="0"/>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extLst>
              <c:ext xmlns:c16="http://schemas.microsoft.com/office/drawing/2014/chart" uri="{C3380CC4-5D6E-409C-BE32-E72D297353CC}">
                <c16:uniqueId val="{00000000-27A8-406D-AE11-746708460017}"/>
              </c:ext>
            </c:extLst>
          </c:dPt>
          <c:dLbls>
            <c:dLbl>
              <c:idx val="2"/>
              <c:layout>
                <c:manualLayout>
                  <c:x val="-1.0600534746240831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7A8-406D-AE11-746708460017}"/>
                </c:ext>
              </c:extLst>
            </c:dLbl>
            <c:spPr>
              <a:solidFill>
                <a:schemeClr val="accent6">
                  <a:alpha val="30000"/>
                </a:schemeClr>
              </a:solidFill>
              <a:ln>
                <a:solidFill>
                  <a:schemeClr val="lt1">
                    <a:alpha val="50000"/>
                  </a:scheme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Sheet7!$A$4:$A$10</c:f>
              <c:strCache>
                <c:ptCount val="6"/>
                <c:pt idx="0">
                  <c:v>Headphone</c:v>
                </c:pt>
                <c:pt idx="1">
                  <c:v>Keyboard</c:v>
                </c:pt>
                <c:pt idx="2">
                  <c:v>Laptop</c:v>
                </c:pt>
                <c:pt idx="3">
                  <c:v>Monitor</c:v>
                </c:pt>
                <c:pt idx="4">
                  <c:v>Mouse</c:v>
                </c:pt>
                <c:pt idx="5">
                  <c:v>Printer</c:v>
                </c:pt>
              </c:strCache>
            </c:strRef>
          </c:cat>
          <c:val>
            <c:numRef>
              <c:f>Sheet7!$B$4:$B$10</c:f>
              <c:numCache>
                <c:formatCode>"₹"\ #,##0.00</c:formatCode>
                <c:ptCount val="6"/>
                <c:pt idx="0">
                  <c:v>12825</c:v>
                </c:pt>
                <c:pt idx="1">
                  <c:v>9217.5</c:v>
                </c:pt>
                <c:pt idx="2">
                  <c:v>93972</c:v>
                </c:pt>
                <c:pt idx="3">
                  <c:v>21000</c:v>
                </c:pt>
                <c:pt idx="4">
                  <c:v>9279</c:v>
                </c:pt>
                <c:pt idx="5">
                  <c:v>14367.000000000002</c:v>
                </c:pt>
              </c:numCache>
            </c:numRef>
          </c:val>
          <c:extLst>
            <c:ext xmlns:c16="http://schemas.microsoft.com/office/drawing/2014/chart" uri="{C3380CC4-5D6E-409C-BE32-E72D297353CC}">
              <c16:uniqueId val="{00000000-0D81-4A63-9347-BC616EB2E795}"/>
            </c:ext>
          </c:extLst>
        </c:ser>
        <c:dLbls>
          <c:showLegendKey val="0"/>
          <c:showVal val="1"/>
          <c:showCatName val="0"/>
          <c:showSerName val="0"/>
          <c:showPercent val="0"/>
          <c:showBubbleSize val="0"/>
        </c:dLbls>
        <c:gapWidth val="84"/>
        <c:gapDepth val="53"/>
        <c:shape val="box"/>
        <c:axId val="650919871"/>
        <c:axId val="467725711"/>
        <c:axId val="0"/>
      </c:bar3DChart>
      <c:catAx>
        <c:axId val="6509198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67725711"/>
        <c:crosses val="autoZero"/>
        <c:auto val="1"/>
        <c:lblAlgn val="ctr"/>
        <c:lblOffset val="100"/>
        <c:noMultiLvlLbl val="0"/>
      </c:catAx>
      <c:valAx>
        <c:axId val="467725711"/>
        <c:scaling>
          <c:orientation val="minMax"/>
        </c:scaling>
        <c:delete val="1"/>
        <c:axPos val="b"/>
        <c:numFmt formatCode="&quot;₹&quot;\ #,##0.00" sourceLinked="1"/>
        <c:majorTickMark val="out"/>
        <c:minorTickMark val="none"/>
        <c:tickLblPos val="nextTo"/>
        <c:crossAx val="6509198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[excel_e-commers_analytic_project_dashboard.xlsx]Sheet2!PivotTable1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 Revenue</a:t>
            </a:r>
          </a:p>
        </c:rich>
      </c:tx>
      <c:layout>
        <c:manualLayout>
          <c:xMode val="edge"/>
          <c:yMode val="edge"/>
          <c:x val="0.28320888993353444"/>
          <c:y val="8.517963594631644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7.5223880597014986E-2"/>
              <c:y val="-4.3184885290148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layout>
            <c:manualLayout>
              <c:x val="-7.522388059701493E-2"/>
              <c:y val="4.318488529014844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dLbl>
              <c:idx val="1"/>
              <c:layout>
                <c:manualLayout>
                  <c:x val="-7.5223880597014986E-2"/>
                  <c:y val="-4.31848852901484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195-487F-93D8-660164F559AA}"/>
                </c:ext>
              </c:extLst>
            </c:dLbl>
            <c:dLbl>
              <c:idx val="2"/>
              <c:layout>
                <c:manualLayout>
                  <c:x val="-7.522388059701493E-2"/>
                  <c:y val="4.318488529014844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195-487F-93D8-660164F559A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Sheet2!$A$4:$A$7</c:f>
              <c:strCache>
                <c:ptCount val="3"/>
                <c:pt idx="0">
                  <c:v>January</c:v>
                </c:pt>
                <c:pt idx="1">
                  <c:v>February</c:v>
                </c:pt>
                <c:pt idx="2">
                  <c:v>March</c:v>
                </c:pt>
              </c:strCache>
            </c:strRef>
          </c:cat>
          <c:val>
            <c:numRef>
              <c:f>Sheet2!$B$4:$B$7</c:f>
              <c:numCache>
                <c:formatCode>General</c:formatCode>
                <c:ptCount val="3"/>
                <c:pt idx="0">
                  <c:v>143700</c:v>
                </c:pt>
                <c:pt idx="1">
                  <c:v>266345</c:v>
                </c:pt>
                <c:pt idx="2">
                  <c:v>125490</c:v>
                </c:pt>
              </c:numCache>
            </c:numRef>
          </c:val>
          <c:smooth val="0"/>
          <c:extLst>
            <c:ext xmlns:c16="http://schemas.microsoft.com/office/drawing/2014/chart" uri="{C3380CC4-5D6E-409C-BE32-E72D297353CC}">
              <c16:uniqueId val="{00000000-67F4-49DB-A9B5-5545D3B562D0}"/>
            </c:ext>
          </c:extLst>
        </c:ser>
        <c:dLbls>
          <c:dLblPos val="ctr"/>
          <c:showLegendKey val="0"/>
          <c:showVal val="1"/>
          <c:showCatName val="0"/>
          <c:showSerName val="0"/>
          <c:showPercent val="0"/>
          <c:showBubbleSize val="0"/>
        </c:dLbls>
        <c:marker val="1"/>
        <c:smooth val="0"/>
        <c:axId val="4818368"/>
        <c:axId val="558238768"/>
      </c:lineChart>
      <c:catAx>
        <c:axId val="481836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58238768"/>
        <c:crosses val="autoZero"/>
        <c:auto val="1"/>
        <c:lblAlgn val="ctr"/>
        <c:lblOffset val="100"/>
        <c:noMultiLvlLbl val="0"/>
      </c:catAx>
      <c:valAx>
        <c:axId val="558238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18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[excel_e-commers_analytic_project_dashboard.xlsx]Sheet9!PivotTable1</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sz="1600"/>
              <a:t>2026 Sales Performance</a:t>
            </a:r>
          </a:p>
        </c:rich>
      </c:tx>
      <c:layout>
        <c:manualLayout>
          <c:xMode val="edge"/>
          <c:yMode val="edge"/>
          <c:x val="0.31830358705161854"/>
          <c:y val="1.5182913050735342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2"/>
            </a:solidFill>
            <a:miter lim="800000"/>
          </a:ln>
          <a:effectLst>
            <a:glow rad="63500">
              <a:schemeClr val="accent2">
                <a:satMod val="175000"/>
                <a:alpha val="25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2"/>
            </a:solidFill>
            <a:miter lim="800000"/>
          </a:ln>
          <a:effectLst>
            <a:glow rad="63500">
              <a:schemeClr val="accent2">
                <a:satMod val="175000"/>
                <a:alpha val="25000"/>
              </a:schemeClr>
            </a:glow>
          </a:effectLst>
        </c:spPr>
        <c:dLbl>
          <c:idx val="0"/>
          <c:layout>
            <c:manualLayout>
              <c:x val="-0.13921113689095138"/>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089946771920683"/>
          <c:y val="0.17069225721784775"/>
          <c:w val="0.53420662111892503"/>
          <c:h val="0.7450565033537474"/>
        </c:manualLayout>
      </c:layout>
      <c:barChart>
        <c:barDir val="bar"/>
        <c:grouping val="clustered"/>
        <c:varyColors val="0"/>
        <c:ser>
          <c:idx val="0"/>
          <c:order val="0"/>
          <c:tx>
            <c:strRef>
              <c:f>Sheet9!$B$3</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dLbls>
            <c:dLbl>
              <c:idx val="0"/>
              <c:layout>
                <c:manualLayout>
                  <c:x val="-0.13921113689095138"/>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D0D-4D57-9DC0-ED0A9DF726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Sheet9!$A$4:$A$10</c:f>
              <c:strCache>
                <c:ptCount val="6"/>
                <c:pt idx="0">
                  <c:v>Aman Sharma</c:v>
                </c:pt>
                <c:pt idx="1">
                  <c:v>Sana Verma</c:v>
                </c:pt>
                <c:pt idx="2">
                  <c:v>Neha Singh</c:v>
                </c:pt>
                <c:pt idx="3">
                  <c:v>Rohit Kumar</c:v>
                </c:pt>
                <c:pt idx="4">
                  <c:v>Riya Khan</c:v>
                </c:pt>
                <c:pt idx="5">
                  <c:v>Kabir Ali</c:v>
                </c:pt>
              </c:strCache>
            </c:strRef>
          </c:cat>
          <c:val>
            <c:numRef>
              <c:f>Sheet9!$B$4:$B$10</c:f>
              <c:numCache>
                <c:formatCode>"₹"\ #,##0.00</c:formatCode>
                <c:ptCount val="6"/>
                <c:pt idx="0">
                  <c:v>313240</c:v>
                </c:pt>
                <c:pt idx="1">
                  <c:v>70000</c:v>
                </c:pt>
                <c:pt idx="2">
                  <c:v>47890</c:v>
                </c:pt>
                <c:pt idx="3">
                  <c:v>42750</c:v>
                </c:pt>
                <c:pt idx="4">
                  <c:v>30930</c:v>
                </c:pt>
                <c:pt idx="5">
                  <c:v>30725</c:v>
                </c:pt>
              </c:numCache>
            </c:numRef>
          </c:val>
          <c:extLst>
            <c:ext xmlns:c16="http://schemas.microsoft.com/office/drawing/2014/chart" uri="{C3380CC4-5D6E-409C-BE32-E72D297353CC}">
              <c16:uniqueId val="{00000000-9D0D-4D57-9DC0-ED0A9DF7266E}"/>
            </c:ext>
          </c:extLst>
        </c:ser>
        <c:dLbls>
          <c:dLblPos val="outEnd"/>
          <c:showLegendKey val="0"/>
          <c:showVal val="1"/>
          <c:showCatName val="0"/>
          <c:showSerName val="0"/>
          <c:showPercent val="0"/>
          <c:showBubbleSize val="0"/>
        </c:dLbls>
        <c:gapWidth val="182"/>
        <c:overlap val="-50"/>
        <c:axId val="59293200"/>
        <c:axId val="1678834032"/>
      </c:barChart>
      <c:catAx>
        <c:axId val="59293200"/>
        <c:scaling>
          <c:orientation val="minMax"/>
        </c:scaling>
        <c:delete val="0"/>
        <c:axPos val="l"/>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8834032"/>
        <c:crosses val="autoZero"/>
        <c:auto val="1"/>
        <c:lblAlgn val="ctr"/>
        <c:lblOffset val="100"/>
        <c:noMultiLvlLbl val="0"/>
      </c:catAx>
      <c:valAx>
        <c:axId val="1678834032"/>
        <c:scaling>
          <c:orientation val="minMax"/>
        </c:scaling>
        <c:delete val="0"/>
        <c:axPos val="b"/>
        <c:majorGridlines>
          <c:spPr>
            <a:ln w="9525" cap="flat" cmpd="sng" algn="ctr">
              <a:gradFill>
                <a:gsLst>
                  <a:gs pos="0">
                    <a:schemeClr val="dk1">
                      <a:lumMod val="65000"/>
                      <a:lumOff val="35000"/>
                    </a:schemeClr>
                  </a:gs>
                  <a:gs pos="100000">
                    <a:schemeClr val="dk1">
                      <a:lumMod val="75000"/>
                      <a:lumOff val="25000"/>
                    </a:schemeClr>
                  </a:gs>
                </a:gsLst>
                <a:lin ang="108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92932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[excel_e-commers_analytic_project_dashboard.xlsx]Sheet10!PivotTable2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product</a:t>
            </a:r>
          </a:p>
        </c:rich>
      </c:tx>
      <c:layout>
        <c:manualLayout>
          <c:xMode val="edge"/>
          <c:yMode val="edge"/>
          <c:x val="0.34056280921085003"/>
          <c:y val="4.004904792306367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249916484225834"/>
          <c:y val="0.32654202008532718"/>
          <c:w val="0.48402900266730886"/>
          <c:h val="0.64194570273310425"/>
        </c:manualLayout>
      </c:layout>
      <c:pieChart>
        <c:varyColors val="1"/>
        <c:ser>
          <c:idx val="0"/>
          <c:order val="0"/>
          <c:tx>
            <c:strRef>
              <c:f>Sheet10!$B$3</c:f>
              <c:strCache>
                <c:ptCount val="1"/>
                <c:pt idx="0">
                  <c:v>Total</c:v>
                </c:pt>
              </c:strCache>
            </c:strRef>
          </c:tx>
          <c:explosion val="3"/>
          <c:dPt>
            <c:idx val="0"/>
            <c:bubble3D val="0"/>
            <c:explosion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381-4E3B-9417-AA859BDC77B4}"/>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381-4E3B-9417-AA859BDC77B4}"/>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381-4E3B-9417-AA859BDC77B4}"/>
              </c:ext>
            </c:extLst>
          </c:dPt>
          <c:dPt>
            <c:idx val="3"/>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381-4E3B-9417-AA859BDC77B4}"/>
              </c:ext>
            </c:extLst>
          </c:dPt>
          <c:dPt>
            <c:idx val="4"/>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381-4E3B-9417-AA859BDC77B4}"/>
              </c:ext>
            </c:extLst>
          </c:dPt>
          <c:dPt>
            <c:idx val="5"/>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Sheet10!$A$4:$A$10</c:f>
              <c:strCache>
                <c:ptCount val="6"/>
                <c:pt idx="0">
                  <c:v>Laptop</c:v>
                </c:pt>
                <c:pt idx="1">
                  <c:v>Monitor</c:v>
                </c:pt>
                <c:pt idx="2">
                  <c:v>Printer</c:v>
                </c:pt>
                <c:pt idx="3">
                  <c:v>Headphone</c:v>
                </c:pt>
                <c:pt idx="4">
                  <c:v>Mouse</c:v>
                </c:pt>
                <c:pt idx="5">
                  <c:v>Keyboard</c:v>
                </c:pt>
              </c:strCache>
            </c:strRef>
          </c:cat>
          <c:val>
            <c:numRef>
              <c:f>Sheet10!$B$4:$B$10</c:f>
              <c:numCache>
                <c:formatCode>General</c:formatCode>
                <c:ptCount val="6"/>
                <c:pt idx="0">
                  <c:v>313240</c:v>
                </c:pt>
                <c:pt idx="1">
                  <c:v>70000</c:v>
                </c:pt>
                <c:pt idx="2">
                  <c:v>47890</c:v>
                </c:pt>
                <c:pt idx="3">
                  <c:v>42750</c:v>
                </c:pt>
                <c:pt idx="4">
                  <c:v>30930</c:v>
                </c:pt>
                <c:pt idx="5">
                  <c:v>30725</c:v>
                </c:pt>
              </c:numCache>
            </c:numRef>
          </c:val>
          <c:extLst>
            <c:ext xmlns:c16="http://schemas.microsoft.com/office/drawing/2014/chart" uri="{C3380CC4-5D6E-409C-BE32-E72D297353CC}">
              <c16:uniqueId val="{0000000A-7381-4E3B-9417-AA859BDC77B4}"/>
            </c:ext>
          </c:extLst>
        </c:ser>
        <c:dLbls>
          <c:showLegendKey val="0"/>
          <c:showVal val="0"/>
          <c:showCatName val="1"/>
          <c:showSerName val="0"/>
          <c:showPercent val="1"/>
          <c:showBubbleSize val="0"/>
          <c:showLeaderLines val="1"/>
        </c:dLbls>
        <c:firstSliceAng val="0"/>
      </c:pieChart>
      <c:spPr>
        <a:noFill/>
        <a:ln>
          <a:noFill/>
        </a:ln>
        <a:effectLst/>
      </c:spPr>
    </c:plotArea>
    <c:legend>
      <c:legendPos val="r"/>
      <c:layout>
        <c:manualLayout>
          <c:xMode val="edge"/>
          <c:yMode val="edge"/>
          <c:x val="0.72857205294762539"/>
          <c:y val="0.2330984302637846"/>
          <c:w val="0.24813827828220048"/>
          <c:h val="0.700132348321324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6.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8.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7.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80962</xdr:colOff>
      <xdr:row>8</xdr:row>
      <xdr:rowOff>114300</xdr:rowOff>
    </xdr:from>
    <xdr:to>
      <xdr:col>5</xdr:col>
      <xdr:colOff>352425</xdr:colOff>
      <xdr:row>21</xdr:row>
      <xdr:rowOff>0</xdr:rowOff>
    </xdr:to>
    <xdr:graphicFrame macro="">
      <xdr:nvGraphicFramePr>
        <xdr:cNvPr id="2" name="Chart 1">
          <a:extLst>
            <a:ext uri="{FF2B5EF4-FFF2-40B4-BE49-F238E27FC236}">
              <a16:creationId xmlns:a16="http://schemas.microsoft.com/office/drawing/2014/main" id="{D2E38A97-8170-49D4-B10C-65A731D8A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242887</xdr:colOff>
      <xdr:row>6</xdr:row>
      <xdr:rowOff>95250</xdr:rowOff>
    </xdr:from>
    <xdr:to>
      <xdr:col>10</xdr:col>
      <xdr:colOff>547687</xdr:colOff>
      <xdr:row>20</xdr:row>
      <xdr:rowOff>171450</xdr:rowOff>
    </xdr:to>
    <xdr:graphicFrame macro="">
      <xdr:nvGraphicFramePr>
        <xdr:cNvPr id="2" name="Chart 1">
          <a:extLst>
            <a:ext uri="{FF2B5EF4-FFF2-40B4-BE49-F238E27FC236}">
              <a16:creationId xmlns:a16="http://schemas.microsoft.com/office/drawing/2014/main" id="{E979E083-F95E-4F7B-B6CD-E3132379C9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223837</xdr:colOff>
      <xdr:row>6</xdr:row>
      <xdr:rowOff>104775</xdr:rowOff>
    </xdr:from>
    <xdr:to>
      <xdr:col>10</xdr:col>
      <xdr:colOff>180975</xdr:colOff>
      <xdr:row>18</xdr:row>
      <xdr:rowOff>123825</xdr:rowOff>
    </xdr:to>
    <xdr:graphicFrame macro="">
      <xdr:nvGraphicFramePr>
        <xdr:cNvPr id="2" name="Chart 1">
          <a:extLst>
            <a:ext uri="{FF2B5EF4-FFF2-40B4-BE49-F238E27FC236}">
              <a16:creationId xmlns:a16="http://schemas.microsoft.com/office/drawing/2014/main" id="{234F5A5A-2C79-4EB9-A237-585063804A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13</xdr:row>
      <xdr:rowOff>152400</xdr:rowOff>
    </xdr:from>
    <xdr:to>
      <xdr:col>3</xdr:col>
      <xdr:colOff>800100</xdr:colOff>
      <xdr:row>26</xdr:row>
      <xdr:rowOff>38100</xdr:rowOff>
    </xdr:to>
    <xdr:graphicFrame macro="">
      <xdr:nvGraphicFramePr>
        <xdr:cNvPr id="7" name="Chart 6">
          <a:extLst>
            <a:ext uri="{FF2B5EF4-FFF2-40B4-BE49-F238E27FC236}">
              <a16:creationId xmlns:a16="http://schemas.microsoft.com/office/drawing/2014/main" id="{30024572-9A82-41A4-AD6F-81EF4545A9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266700</xdr:colOff>
      <xdr:row>13</xdr:row>
      <xdr:rowOff>161926</xdr:rowOff>
    </xdr:from>
    <xdr:to>
      <xdr:col>17</xdr:col>
      <xdr:colOff>371475</xdr:colOff>
      <xdr:row>26</xdr:row>
      <xdr:rowOff>47626</xdr:rowOff>
    </xdr:to>
    <xdr:graphicFrame macro="">
      <xdr:nvGraphicFramePr>
        <xdr:cNvPr id="8" name="Chart 7">
          <a:extLst>
            <a:ext uri="{FF2B5EF4-FFF2-40B4-BE49-F238E27FC236}">
              <a16:creationId xmlns:a16="http://schemas.microsoft.com/office/drawing/2014/main" id="{56E15131-817F-41CE-B92B-5DC97091E5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504824</xdr:colOff>
      <xdr:row>0</xdr:row>
      <xdr:rowOff>0</xdr:rowOff>
    </xdr:from>
    <xdr:to>
      <xdr:col>10</xdr:col>
      <xdr:colOff>400050</xdr:colOff>
      <xdr:row>8</xdr:row>
      <xdr:rowOff>9525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4E49D9B2-AC85-43B9-AA2C-5554C838F28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19949" y="0"/>
              <a:ext cx="1114426" cy="1533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400049</xdr:colOff>
      <xdr:row>0</xdr:row>
      <xdr:rowOff>0</xdr:rowOff>
    </xdr:from>
    <xdr:to>
      <xdr:col>12</xdr:col>
      <xdr:colOff>314324</xdr:colOff>
      <xdr:row>13</xdr:row>
      <xdr:rowOff>104774</xdr:rowOff>
    </xdr:to>
    <mc:AlternateContent xmlns:mc="http://schemas.openxmlformats.org/markup-compatibility/2006">
      <mc:Choice xmlns:a14="http://schemas.microsoft.com/office/drawing/2010/main" Requires="a14">
        <xdr:graphicFrame macro="">
          <xdr:nvGraphicFramePr>
            <xdr:cNvPr id="10" name="Product">
              <a:extLst>
                <a:ext uri="{FF2B5EF4-FFF2-40B4-BE49-F238E27FC236}">
                  <a16:creationId xmlns:a16="http://schemas.microsoft.com/office/drawing/2014/main" id="{4F06D49F-F8B8-4152-BC52-94699F64563F}"/>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8334374" y="0"/>
              <a:ext cx="1133475" cy="2581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504824</xdr:colOff>
      <xdr:row>7</xdr:row>
      <xdr:rowOff>152401</xdr:rowOff>
    </xdr:from>
    <xdr:to>
      <xdr:col>10</xdr:col>
      <xdr:colOff>419100</xdr:colOff>
      <xdr:row>13</xdr:row>
      <xdr:rowOff>133351</xdr:rowOff>
    </xdr:to>
    <mc:AlternateContent xmlns:mc="http://schemas.openxmlformats.org/markup-compatibility/2006">
      <mc:Choice xmlns:a14="http://schemas.microsoft.com/office/drawing/2010/main" Requires="a14">
        <xdr:graphicFrame macro="">
          <xdr:nvGraphicFramePr>
            <xdr:cNvPr id="11" name="Month Name">
              <a:extLst>
                <a:ext uri="{FF2B5EF4-FFF2-40B4-BE49-F238E27FC236}">
                  <a16:creationId xmlns:a16="http://schemas.microsoft.com/office/drawing/2014/main" id="{C470770F-4DB7-4AB5-89F4-3730B413282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dr:sp macro="" textlink="">
          <xdr:nvSpPr>
            <xdr:cNvPr id="0" name=""/>
            <xdr:cNvSpPr>
              <a:spLocks noTextEdit="1"/>
            </xdr:cNvSpPr>
          </xdr:nvSpPr>
          <xdr:spPr>
            <a:xfrm>
              <a:off x="7219949" y="1485901"/>
              <a:ext cx="1133476" cy="1123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828676</xdr:colOff>
      <xdr:row>13</xdr:row>
      <xdr:rowOff>152400</xdr:rowOff>
    </xdr:from>
    <xdr:to>
      <xdr:col>9</xdr:col>
      <xdr:colOff>247651</xdr:colOff>
      <xdr:row>26</xdr:row>
      <xdr:rowOff>28575</xdr:rowOff>
    </xdr:to>
    <xdr:graphicFrame macro="">
      <xdr:nvGraphicFramePr>
        <xdr:cNvPr id="12" name="Chart 11">
          <a:extLst>
            <a:ext uri="{FF2B5EF4-FFF2-40B4-BE49-F238E27FC236}">
              <a16:creationId xmlns:a16="http://schemas.microsoft.com/office/drawing/2014/main" id="{66697329-2F29-4548-87B2-1A1E65D1A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552450</xdr:colOff>
      <xdr:row>8</xdr:row>
      <xdr:rowOff>123825</xdr:rowOff>
    </xdr:from>
    <xdr:to>
      <xdr:col>5</xdr:col>
      <xdr:colOff>428624</xdr:colOff>
      <xdr:row>13</xdr:row>
      <xdr:rowOff>95250</xdr:rowOff>
    </xdr:to>
    <xdr:sp macro="" textlink="">
      <xdr:nvSpPr>
        <xdr:cNvPr id="15" name="Rectangle 14">
          <a:extLst>
            <a:ext uri="{FF2B5EF4-FFF2-40B4-BE49-F238E27FC236}">
              <a16:creationId xmlns:a16="http://schemas.microsoft.com/office/drawing/2014/main" id="{C4180D96-2C25-456F-86C7-4A2423807E83}"/>
            </a:ext>
          </a:extLst>
        </xdr:cNvPr>
        <xdr:cNvSpPr/>
      </xdr:nvSpPr>
      <xdr:spPr>
        <a:xfrm>
          <a:off x="3467100" y="1647825"/>
          <a:ext cx="1847849" cy="92392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u="sng"/>
            <a:t> TOTAL_ORDERS</a:t>
          </a:r>
          <a:endParaRPr lang="en-IN" sz="1100" b="1" i="0" u="sng" strike="noStrike">
            <a:solidFill>
              <a:schemeClr val="lt1"/>
            </a:solidFill>
            <a:effectLst/>
            <a:latin typeface="+mn-lt"/>
            <a:ea typeface="+mn-ea"/>
            <a:cs typeface="+mn-cs"/>
          </a:endParaRPr>
        </a:p>
        <a:p>
          <a:pPr algn="l"/>
          <a:endParaRPr lang="en-IN" sz="1100" b="1" i="0" u="none" strike="noStrike">
            <a:solidFill>
              <a:schemeClr val="lt1"/>
            </a:solidFill>
            <a:effectLst/>
            <a:latin typeface="+mn-lt"/>
            <a:ea typeface="+mn-ea"/>
            <a:cs typeface="+mn-cs"/>
          </a:endParaRPr>
        </a:p>
        <a:p>
          <a:pPr algn="l"/>
          <a:r>
            <a:rPr lang="en-IN" sz="1100" b="1" i="0" u="none" strike="noStrike" baseline="0">
              <a:solidFill>
                <a:schemeClr val="lt1"/>
              </a:solidFill>
              <a:effectLst/>
              <a:latin typeface="+mn-lt"/>
              <a:ea typeface="+mn-ea"/>
              <a:cs typeface="+mn-cs"/>
            </a:rPr>
            <a:t>                 </a:t>
          </a:r>
          <a:r>
            <a:rPr lang="en-IN" sz="1800" b="1" i="0" u="none" strike="noStrike" baseline="0">
              <a:solidFill>
                <a:schemeClr val="lt1"/>
              </a:solidFill>
              <a:effectLst/>
              <a:latin typeface="+mn-lt"/>
              <a:ea typeface="+mn-ea"/>
              <a:cs typeface="+mn-cs"/>
            </a:rPr>
            <a:t>20</a:t>
          </a:r>
          <a:r>
            <a:rPr lang="en-IN" sz="1800" b="1"/>
            <a:t> </a:t>
          </a:r>
          <a:r>
            <a:rPr lang="en-IN"/>
            <a:t>  </a:t>
          </a:r>
          <a:endParaRPr lang="en-IN" sz="1100"/>
        </a:p>
      </xdr:txBody>
    </xdr:sp>
    <xdr:clientData/>
  </xdr:twoCellAnchor>
  <xdr:twoCellAnchor>
    <xdr:from>
      <xdr:col>5</xdr:col>
      <xdr:colOff>457200</xdr:colOff>
      <xdr:row>3</xdr:row>
      <xdr:rowOff>123825</xdr:rowOff>
    </xdr:from>
    <xdr:to>
      <xdr:col>8</xdr:col>
      <xdr:colOff>476249</xdr:colOff>
      <xdr:row>8</xdr:row>
      <xdr:rowOff>95250</xdr:rowOff>
    </xdr:to>
    <xdr:sp macro="" textlink="">
      <xdr:nvSpPr>
        <xdr:cNvPr id="16" name="Rectangle 15">
          <a:extLst>
            <a:ext uri="{FF2B5EF4-FFF2-40B4-BE49-F238E27FC236}">
              <a16:creationId xmlns:a16="http://schemas.microsoft.com/office/drawing/2014/main" id="{69C30449-8585-473C-875C-7F4C877A7A69}"/>
            </a:ext>
          </a:extLst>
        </xdr:cNvPr>
        <xdr:cNvSpPr/>
      </xdr:nvSpPr>
      <xdr:spPr>
        <a:xfrm>
          <a:off x="5343525" y="695325"/>
          <a:ext cx="1847849" cy="92392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u="sng"/>
            <a:t> AVERAGE</a:t>
          </a:r>
          <a:r>
            <a:rPr lang="en-IN" sz="1100" u="sng" baseline="0"/>
            <a:t> SALES</a:t>
          </a:r>
          <a:endParaRPr lang="en-IN" sz="1100" b="1" i="0" u="sng" strike="noStrike">
            <a:solidFill>
              <a:schemeClr val="lt1"/>
            </a:solidFill>
            <a:effectLst/>
            <a:latin typeface="+mn-lt"/>
            <a:ea typeface="+mn-ea"/>
            <a:cs typeface="+mn-cs"/>
          </a:endParaRPr>
        </a:p>
        <a:p>
          <a:pPr algn="l"/>
          <a:endParaRPr lang="en-IN" sz="1100" b="1" i="0" u="none" strike="noStrike" baseline="0">
            <a:solidFill>
              <a:schemeClr val="lt1"/>
            </a:solidFill>
            <a:effectLst/>
            <a:latin typeface="+mn-lt"/>
            <a:ea typeface="+mn-ea"/>
            <a:cs typeface="+mn-cs"/>
          </a:endParaRPr>
        </a:p>
        <a:p>
          <a:pPr algn="l"/>
          <a:r>
            <a:rPr lang="en-IN" sz="1800" b="1" i="0" u="none" strike="noStrike">
              <a:solidFill>
                <a:schemeClr val="lt1"/>
              </a:solidFill>
              <a:effectLst/>
              <a:latin typeface="+mn-lt"/>
              <a:ea typeface="+mn-ea"/>
              <a:cs typeface="+mn-cs"/>
            </a:rPr>
            <a:t>₹ 26,776.75</a:t>
          </a:r>
          <a:r>
            <a:rPr lang="en-IN" sz="1800"/>
            <a:t> </a:t>
          </a:r>
          <a:r>
            <a:rPr lang="en-IN" sz="1800" b="1"/>
            <a:t> </a:t>
          </a:r>
          <a:r>
            <a:rPr lang="en-IN" sz="1800"/>
            <a:t>  </a:t>
          </a:r>
        </a:p>
      </xdr:txBody>
    </xdr:sp>
    <xdr:clientData/>
  </xdr:twoCellAnchor>
  <xdr:twoCellAnchor>
    <xdr:from>
      <xdr:col>3</xdr:col>
      <xdr:colOff>552450</xdr:colOff>
      <xdr:row>3</xdr:row>
      <xdr:rowOff>123825</xdr:rowOff>
    </xdr:from>
    <xdr:to>
      <xdr:col>5</xdr:col>
      <xdr:colOff>428624</xdr:colOff>
      <xdr:row>8</xdr:row>
      <xdr:rowOff>95250</xdr:rowOff>
    </xdr:to>
    <xdr:sp macro="" textlink="">
      <xdr:nvSpPr>
        <xdr:cNvPr id="17" name="Rectangle 16">
          <a:extLst>
            <a:ext uri="{FF2B5EF4-FFF2-40B4-BE49-F238E27FC236}">
              <a16:creationId xmlns:a16="http://schemas.microsoft.com/office/drawing/2014/main" id="{60D3B6A7-9E90-4DF4-8909-F02105E9728F}"/>
            </a:ext>
          </a:extLst>
        </xdr:cNvPr>
        <xdr:cNvSpPr/>
      </xdr:nvSpPr>
      <xdr:spPr>
        <a:xfrm>
          <a:off x="3467100" y="695325"/>
          <a:ext cx="1847849" cy="92392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u="sng"/>
            <a:t> TOTAL</a:t>
          </a:r>
          <a:r>
            <a:rPr lang="en-IN" sz="1100" u="sng" baseline="0"/>
            <a:t> REVENUE</a:t>
          </a:r>
          <a:endParaRPr lang="en-IN" sz="1100" b="1" i="0" u="sng" strike="noStrike" baseline="0">
            <a:solidFill>
              <a:schemeClr val="lt1"/>
            </a:solidFill>
            <a:effectLst/>
            <a:latin typeface="+mn-lt"/>
            <a:ea typeface="+mn-ea"/>
            <a:cs typeface="+mn-cs"/>
          </a:endParaRPr>
        </a:p>
        <a:p>
          <a:pPr algn="l"/>
          <a:endParaRPr lang="en-IN" sz="1100" b="1" i="0" u="sng" strike="noStrike" baseline="0">
            <a:solidFill>
              <a:schemeClr val="lt1"/>
            </a:solidFill>
            <a:effectLst/>
            <a:latin typeface="+mn-lt"/>
            <a:ea typeface="+mn-ea"/>
            <a:cs typeface="+mn-cs"/>
          </a:endParaRPr>
        </a:p>
        <a:p>
          <a:pPr algn="l"/>
          <a:r>
            <a:rPr lang="en-IN" sz="1800" b="1" i="0">
              <a:solidFill>
                <a:schemeClr val="lt1"/>
              </a:solidFill>
              <a:effectLst/>
              <a:latin typeface="+mn-lt"/>
              <a:ea typeface="+mn-ea"/>
              <a:cs typeface="+mn-cs"/>
            </a:rPr>
            <a:t>₹ 5,35,535.00</a:t>
          </a:r>
          <a:r>
            <a:rPr lang="en-IN" sz="1800" b="1">
              <a:solidFill>
                <a:schemeClr val="lt1"/>
              </a:solidFill>
              <a:effectLst/>
              <a:latin typeface="+mn-lt"/>
              <a:ea typeface="+mn-ea"/>
              <a:cs typeface="+mn-cs"/>
            </a:rPr>
            <a:t> </a:t>
          </a:r>
          <a:r>
            <a:rPr lang="en-IN" sz="1800">
              <a:solidFill>
                <a:schemeClr val="lt1"/>
              </a:solidFill>
              <a:effectLst/>
              <a:latin typeface="+mn-lt"/>
              <a:ea typeface="+mn-ea"/>
              <a:cs typeface="+mn-cs"/>
            </a:rPr>
            <a:t>  </a:t>
          </a:r>
          <a:r>
            <a:rPr lang="en-IN" sz="1800"/>
            <a:t> </a:t>
          </a:r>
          <a:r>
            <a:rPr lang="en-IN" sz="1800" b="1"/>
            <a:t> </a:t>
          </a:r>
          <a:r>
            <a:rPr lang="en-IN" sz="1800"/>
            <a:t>  </a:t>
          </a:r>
        </a:p>
      </xdr:txBody>
    </xdr:sp>
    <xdr:clientData/>
  </xdr:twoCellAnchor>
  <xdr:twoCellAnchor>
    <xdr:from>
      <xdr:col>5</xdr:col>
      <xdr:colOff>457200</xdr:colOff>
      <xdr:row>8</xdr:row>
      <xdr:rowOff>123825</xdr:rowOff>
    </xdr:from>
    <xdr:to>
      <xdr:col>8</xdr:col>
      <xdr:colOff>476249</xdr:colOff>
      <xdr:row>13</xdr:row>
      <xdr:rowOff>95250</xdr:rowOff>
    </xdr:to>
    <xdr:sp macro="" textlink="">
      <xdr:nvSpPr>
        <xdr:cNvPr id="18" name="Rectangle 17">
          <a:extLst>
            <a:ext uri="{FF2B5EF4-FFF2-40B4-BE49-F238E27FC236}">
              <a16:creationId xmlns:a16="http://schemas.microsoft.com/office/drawing/2014/main" id="{29CAD047-5923-45BC-9FD2-A5814271CEFF}"/>
            </a:ext>
          </a:extLst>
        </xdr:cNvPr>
        <xdr:cNvSpPr/>
      </xdr:nvSpPr>
      <xdr:spPr>
        <a:xfrm>
          <a:off x="5343525" y="1647825"/>
          <a:ext cx="1847849" cy="923925"/>
        </a:xfrm>
        <a:prstGeom prst="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r>
            <a:rPr lang="en-IN" sz="1100" u="sng"/>
            <a:t> TOTAL</a:t>
          </a:r>
          <a:r>
            <a:rPr lang="en-IN" sz="1100" u="sng" baseline="0"/>
            <a:t> PROFIT</a:t>
          </a:r>
          <a:endParaRPr lang="en-IN" sz="1100" b="1" i="0" u="sng" strike="noStrike">
            <a:solidFill>
              <a:schemeClr val="lt1"/>
            </a:solidFill>
            <a:effectLst/>
            <a:latin typeface="+mn-lt"/>
            <a:ea typeface="+mn-ea"/>
            <a:cs typeface="+mn-cs"/>
          </a:endParaRPr>
        </a:p>
        <a:p>
          <a:pPr algn="l"/>
          <a:endParaRPr lang="en-IN" sz="1100" b="1" i="0" u="none" strike="noStrike">
            <a:solidFill>
              <a:schemeClr val="lt1"/>
            </a:solidFill>
            <a:effectLst/>
            <a:latin typeface="+mn-lt"/>
            <a:ea typeface="+mn-ea"/>
            <a:cs typeface="+mn-cs"/>
          </a:endParaRPr>
        </a:p>
        <a:p>
          <a:pPr algn="l"/>
          <a:r>
            <a:rPr lang="en-IN" sz="1800" b="1" i="0" u="none" strike="noStrike">
              <a:solidFill>
                <a:schemeClr val="lt1"/>
              </a:solidFill>
              <a:effectLst/>
              <a:latin typeface="+mn-lt"/>
              <a:ea typeface="+mn-ea"/>
              <a:cs typeface="+mn-cs"/>
            </a:rPr>
            <a:t>₹ 1,60,660.50</a:t>
          </a:r>
          <a:r>
            <a:rPr lang="en-IN" sz="1800"/>
            <a:t> </a:t>
          </a:r>
        </a:p>
      </xdr:txBody>
    </xdr:sp>
    <xdr:clientData/>
  </xdr:twoCellAnchor>
  <xdr:twoCellAnchor>
    <xdr:from>
      <xdr:col>0</xdr:col>
      <xdr:colOff>1</xdr:colOff>
      <xdr:row>0</xdr:row>
      <xdr:rowOff>123825</xdr:rowOff>
    </xdr:from>
    <xdr:to>
      <xdr:col>3</xdr:col>
      <xdr:colOff>514351</xdr:colOff>
      <xdr:row>13</xdr:row>
      <xdr:rowOff>85724</xdr:rowOff>
    </xdr:to>
    <xdr:graphicFrame macro="">
      <xdr:nvGraphicFramePr>
        <xdr:cNvPr id="13" name="Chart 12">
          <a:extLst>
            <a:ext uri="{FF2B5EF4-FFF2-40B4-BE49-F238E27FC236}">
              <a16:creationId xmlns:a16="http://schemas.microsoft.com/office/drawing/2014/main" id="{426C80D7-76BB-457A-AD0E-5FA6ADCC6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333374</xdr:colOff>
      <xdr:row>0</xdr:row>
      <xdr:rowOff>114300</xdr:rowOff>
    </xdr:from>
    <xdr:to>
      <xdr:col>17</xdr:col>
      <xdr:colOff>557211</xdr:colOff>
      <xdr:row>13</xdr:row>
      <xdr:rowOff>104775</xdr:rowOff>
    </xdr:to>
    <xdr:graphicFrame macro="">
      <xdr:nvGraphicFramePr>
        <xdr:cNvPr id="14" name="Chart 13">
          <a:extLst>
            <a:ext uri="{FF2B5EF4-FFF2-40B4-BE49-F238E27FC236}">
              <a16:creationId xmlns:a16="http://schemas.microsoft.com/office/drawing/2014/main" id="{EE516732-207A-4CF6-B1CF-28DBBB3B61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619125</xdr:colOff>
      <xdr:row>0</xdr:row>
      <xdr:rowOff>85725</xdr:rowOff>
    </xdr:from>
    <xdr:to>
      <xdr:col>8</xdr:col>
      <xdr:colOff>428625</xdr:colOff>
      <xdr:row>3</xdr:row>
      <xdr:rowOff>57150</xdr:rowOff>
    </xdr:to>
    <xdr:sp macro="" textlink="">
      <xdr:nvSpPr>
        <xdr:cNvPr id="2" name="Rectangle: Rounded Corners 1">
          <a:extLst>
            <a:ext uri="{FF2B5EF4-FFF2-40B4-BE49-F238E27FC236}">
              <a16:creationId xmlns:a16="http://schemas.microsoft.com/office/drawing/2014/main" id="{0DA2E38A-7E5E-47BB-996E-6727CD663DFA}"/>
            </a:ext>
          </a:extLst>
        </xdr:cNvPr>
        <xdr:cNvSpPr/>
      </xdr:nvSpPr>
      <xdr:spPr>
        <a:xfrm>
          <a:off x="3533775" y="85725"/>
          <a:ext cx="3609975" cy="542925"/>
        </a:xfrm>
        <a:prstGeom prst="roundRect">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accent1">
                  <a:lumMod val="50000"/>
                </a:schemeClr>
              </a:solidFill>
              <a:latin typeface="Britannic Bold" panose="020B0903060703020204" pitchFamily="34" charset="0"/>
            </a:rPr>
            <a:t>SALES</a:t>
          </a:r>
          <a:r>
            <a:rPr lang="en-IN" sz="1800" baseline="0">
              <a:solidFill>
                <a:schemeClr val="accent1">
                  <a:lumMod val="50000"/>
                </a:schemeClr>
              </a:solidFill>
              <a:latin typeface="Britannic Bold" panose="020B0903060703020204" pitchFamily="34" charset="0"/>
            </a:rPr>
            <a:t> ANALYTICS DASHBOARD</a:t>
          </a:r>
          <a:endParaRPr lang="en-IN" sz="1800">
            <a:solidFill>
              <a:schemeClr val="accent1">
                <a:lumMod val="50000"/>
              </a:schemeClr>
            </a:solidFill>
            <a:latin typeface="Britannic Bold" panose="020B0903060703020204" pitchFamily="34" charset="0"/>
          </a:endParaRPr>
        </a:p>
      </xdr:txBody>
    </xdr:sp>
    <xdr:clientData/>
  </xdr:twoCellAnchor>
  <xdr:twoCellAnchor editAs="oneCell">
    <xdr:from>
      <xdr:col>7</xdr:col>
      <xdr:colOff>590552</xdr:colOff>
      <xdr:row>0</xdr:row>
      <xdr:rowOff>95252</xdr:rowOff>
    </xdr:from>
    <xdr:to>
      <xdr:col>8</xdr:col>
      <xdr:colOff>428626</xdr:colOff>
      <xdr:row>2</xdr:row>
      <xdr:rowOff>161926</xdr:rowOff>
    </xdr:to>
    <xdr:pic>
      <xdr:nvPicPr>
        <xdr:cNvPr id="4" name="Graphic 3" descr="Shopping bag">
          <a:extLst>
            <a:ext uri="{FF2B5EF4-FFF2-40B4-BE49-F238E27FC236}">
              <a16:creationId xmlns:a16="http://schemas.microsoft.com/office/drawing/2014/main" id="{A910D7E6-373A-44C3-9080-B470E360FA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696077" y="95252"/>
          <a:ext cx="447674" cy="447674"/>
        </a:xfrm>
        <a:prstGeom prst="rect">
          <a:avLst/>
        </a:prstGeom>
      </xdr:spPr>
    </xdr:pic>
    <xdr:clientData/>
  </xdr:twoCellAnchor>
  <xdr:twoCellAnchor editAs="oneCell">
    <xdr:from>
      <xdr:col>7</xdr:col>
      <xdr:colOff>571500</xdr:colOff>
      <xdr:row>10</xdr:row>
      <xdr:rowOff>47626</xdr:rowOff>
    </xdr:from>
    <xdr:to>
      <xdr:col>8</xdr:col>
      <xdr:colOff>477289</xdr:colOff>
      <xdr:row>12</xdr:row>
      <xdr:rowOff>123826</xdr:rowOff>
    </xdr:to>
    <xdr:pic>
      <xdr:nvPicPr>
        <xdr:cNvPr id="6" name="Graphic 5" descr="Bar graph with upward trend">
          <a:extLst>
            <a:ext uri="{FF2B5EF4-FFF2-40B4-BE49-F238E27FC236}">
              <a16:creationId xmlns:a16="http://schemas.microsoft.com/office/drawing/2014/main" id="{7BAB4D99-B32C-44EE-AEE2-6FF94948AD6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6677025" y="1952626"/>
          <a:ext cx="515389" cy="457200"/>
        </a:xfrm>
        <a:prstGeom prst="rect">
          <a:avLst/>
        </a:prstGeom>
      </xdr:spPr>
    </xdr:pic>
    <xdr:clientData/>
  </xdr:twoCellAnchor>
  <xdr:twoCellAnchor editAs="oneCell">
    <xdr:from>
      <xdr:col>5</xdr:col>
      <xdr:colOff>0</xdr:colOff>
      <xdr:row>5</xdr:row>
      <xdr:rowOff>9526</xdr:rowOff>
    </xdr:from>
    <xdr:to>
      <xdr:col>5</xdr:col>
      <xdr:colOff>390525</xdr:colOff>
      <xdr:row>7</xdr:row>
      <xdr:rowOff>66675</xdr:rowOff>
    </xdr:to>
    <xdr:pic>
      <xdr:nvPicPr>
        <xdr:cNvPr id="21" name="Graphic 20" descr="Money">
          <a:extLst>
            <a:ext uri="{FF2B5EF4-FFF2-40B4-BE49-F238E27FC236}">
              <a16:creationId xmlns:a16="http://schemas.microsoft.com/office/drawing/2014/main" id="{25621512-448E-4DD5-9D87-27D8D7BF483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4886325" y="962026"/>
          <a:ext cx="390525" cy="438149"/>
        </a:xfrm>
        <a:prstGeom prst="rect">
          <a:avLst/>
        </a:prstGeom>
      </xdr:spPr>
    </xdr:pic>
    <xdr:clientData/>
  </xdr:twoCellAnchor>
  <xdr:twoCellAnchor editAs="oneCell">
    <xdr:from>
      <xdr:col>4</xdr:col>
      <xdr:colOff>228600</xdr:colOff>
      <xdr:row>9</xdr:row>
      <xdr:rowOff>104775</xdr:rowOff>
    </xdr:from>
    <xdr:to>
      <xdr:col>5</xdr:col>
      <xdr:colOff>228600</xdr:colOff>
      <xdr:row>12</xdr:row>
      <xdr:rowOff>142875</xdr:rowOff>
    </xdr:to>
    <xdr:pic>
      <xdr:nvPicPr>
        <xdr:cNvPr id="23" name="Graphic 22" descr="Gold bars">
          <a:extLst>
            <a:ext uri="{FF2B5EF4-FFF2-40B4-BE49-F238E27FC236}">
              <a16:creationId xmlns:a16="http://schemas.microsoft.com/office/drawing/2014/main" id="{F9D1F31B-E8D8-45F3-9604-0262408A41F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4505325" y="1819275"/>
          <a:ext cx="609600" cy="609600"/>
        </a:xfrm>
        <a:prstGeom prst="rect">
          <a:avLst/>
        </a:prstGeom>
      </xdr:spPr>
    </xdr:pic>
    <xdr:clientData/>
  </xdr:twoCellAnchor>
  <xdr:twoCellAnchor editAs="oneCell">
    <xdr:from>
      <xdr:col>7</xdr:col>
      <xdr:colOff>495301</xdr:colOff>
      <xdr:row>5</xdr:row>
      <xdr:rowOff>9526</xdr:rowOff>
    </xdr:from>
    <xdr:to>
      <xdr:col>8</xdr:col>
      <xdr:colOff>381000</xdr:colOff>
      <xdr:row>7</xdr:row>
      <xdr:rowOff>123825</xdr:rowOff>
    </xdr:to>
    <xdr:pic>
      <xdr:nvPicPr>
        <xdr:cNvPr id="25" name="Graphic 24" descr="Shopping cart">
          <a:extLst>
            <a:ext uri="{FF2B5EF4-FFF2-40B4-BE49-F238E27FC236}">
              <a16:creationId xmlns:a16="http://schemas.microsoft.com/office/drawing/2014/main" id="{57F414AB-0AFB-4E10-B714-5A168D9C942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6600826" y="962026"/>
          <a:ext cx="495299" cy="495299"/>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79.451922106484" createdVersion="6" refreshedVersion="6" minRefreshableVersion="3" recordCount="20" xr:uid="{01C50E76-AF0D-4BF3-8BA0-BCCD9270CF3B}">
  <cacheSource type="worksheet">
    <worksheetSource name="Table1_4"/>
  </cacheSource>
  <cacheFields count="16">
    <cacheField name="Order_ID" numFmtId="0">
      <sharedItems containsSemiMixedTypes="0" containsString="0" containsNumber="1" containsInteger="1" minValue="1001" maxValue="1020"/>
    </cacheField>
    <cacheField name="Order_Date" numFmtId="14">
      <sharedItems containsSemiMixedTypes="0" containsNonDate="0" containsDate="1" containsString="0" minDate="2025-01-12T00:00:00" maxDate="2025-03-16T00:00:00"/>
    </cacheField>
    <cacheField name="Customer_Name" numFmtId="0">
      <sharedItems count="6">
        <s v="Aman Sharma"/>
        <s v="Riya Khan"/>
        <s v="Kabir Ali"/>
        <s v="Sana Verma"/>
        <s v="Neha Singh"/>
        <s v="Rohit Kumar"/>
      </sharedItems>
    </cacheField>
    <cacheField name="Region" numFmtId="0">
      <sharedItems count="4">
        <s v="North"/>
        <s v="South"/>
        <s v="East"/>
        <s v="West"/>
      </sharedItems>
    </cacheField>
    <cacheField name="Product" numFmtId="0">
      <sharedItems count="6">
        <s v="Laptop"/>
        <s v="Mouse"/>
        <s v="Keyboard"/>
        <s v="Monitor"/>
        <s v="Printer"/>
        <s v="Headphone"/>
      </sharedItems>
    </cacheField>
    <cacheField name="Category" numFmtId="0">
      <sharedItems/>
    </cacheField>
    <cacheField name="Units" numFmtId="0">
      <sharedItems containsSemiMixedTypes="0" containsString="0" containsNumber="1" containsInteger="1" minValue="1" maxValue="8"/>
    </cacheField>
    <cacheField name="Unit_Price" numFmtId="0">
      <sharedItems containsSemiMixedTypes="0" containsString="0" containsNumber="1" containsInteger="1" minValue="1100" maxValue="62000"/>
    </cacheField>
    <cacheField name="Discount" numFmtId="0">
      <sharedItems containsSemiMixedTypes="0" containsString="0" containsNumber="1" containsInteger="1" minValue="0" maxValue="15"/>
    </cacheField>
    <cacheField name="Revenue" numFmtId="0">
      <sharedItems containsSemiMixedTypes="0" containsString="0" containsNumber="1" containsInteger="1" minValue="5700" maxValue="104400"/>
    </cacheField>
    <cacheField name="Month Name" numFmtId="0">
      <sharedItems count="3">
        <s v="January"/>
        <s v="February"/>
        <s v="March"/>
      </sharedItems>
    </cacheField>
    <cacheField name="Year" numFmtId="0">
      <sharedItems containsSemiMixedTypes="0" containsString="0" containsNumber="1" containsInteger="1" minValue="2025" maxValue="2025"/>
    </cacheField>
    <cacheField name="Cost" numFmtId="0">
      <sharedItems containsSemiMixedTypes="0" containsString="0" containsNumber="1" minValue="3989.9999999999995" maxValue="73080"/>
    </cacheField>
    <cacheField name="Profit" numFmtId="0">
      <sharedItems containsSemiMixedTypes="0" containsString="0" containsNumber="1" minValue="1710.0000000000005" maxValue="31320"/>
    </cacheField>
    <cacheField name="Margine_%" numFmtId="0">
      <sharedItems containsSemiMixedTypes="0" containsString="0" containsNumber="1" minValue="0.3" maxValue="0.3"/>
    </cacheField>
    <cacheField name="MARGINE%" numFmtId="0" formula="Profit/Revenue" databaseField="0"/>
  </cacheFields>
  <extLst>
    <ext xmlns:x14="http://schemas.microsoft.com/office/spreadsheetml/2009/9/main" uri="{725AE2AE-9491-48be-B2B4-4EB974FC3084}">
      <x14:pivotCacheDefinition pivotCacheId="1845700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001"/>
    <d v="2025-01-12T00:00:00"/>
    <x v="0"/>
    <x v="0"/>
    <x v="0"/>
    <s v="Electronics"/>
    <n v="2"/>
    <n v="55000"/>
    <n v="10"/>
    <n v="99000"/>
    <x v="0"/>
    <n v="2025"/>
    <n v="69300"/>
    <n v="29700"/>
    <n v="0.3"/>
  </r>
  <r>
    <n v="1002"/>
    <d v="2025-01-15T00:00:00"/>
    <x v="1"/>
    <x v="1"/>
    <x v="1"/>
    <s v="Accessories"/>
    <n v="5"/>
    <n v="1200"/>
    <n v="5"/>
    <n v="5700"/>
    <x v="0"/>
    <n v="2025"/>
    <n v="3989.9999999999995"/>
    <n v="1710.0000000000005"/>
    <n v="0.3"/>
  </r>
  <r>
    <n v="1003"/>
    <d v="2025-01-18T00:00:00"/>
    <x v="2"/>
    <x v="2"/>
    <x v="2"/>
    <s v="Accessories"/>
    <n v="3"/>
    <n v="2500"/>
    <n v="0"/>
    <n v="7500"/>
    <x v="0"/>
    <n v="2025"/>
    <n v="5250"/>
    <n v="2250"/>
    <n v="0.3"/>
  </r>
  <r>
    <n v="1004"/>
    <d v="2025-01-20T00:00:00"/>
    <x v="3"/>
    <x v="3"/>
    <x v="3"/>
    <s v="Electronics"/>
    <n v="1"/>
    <n v="18000"/>
    <n v="15"/>
    <n v="15300"/>
    <x v="0"/>
    <n v="2025"/>
    <n v="10710"/>
    <n v="4590"/>
    <n v="0.3"/>
  </r>
  <r>
    <n v="1005"/>
    <d v="2025-01-25T00:00:00"/>
    <x v="4"/>
    <x v="0"/>
    <x v="4"/>
    <s v="Electronics"/>
    <n v="2"/>
    <n v="9000"/>
    <n v="10"/>
    <n v="16200"/>
    <x v="0"/>
    <n v="2025"/>
    <n v="11340"/>
    <n v="4860"/>
    <n v="0.3"/>
  </r>
  <r>
    <n v="1006"/>
    <d v="2025-02-02T00:00:00"/>
    <x v="5"/>
    <x v="1"/>
    <x v="5"/>
    <s v="Accessories"/>
    <n v="4"/>
    <n v="3500"/>
    <n v="5"/>
    <n v="13300"/>
    <x v="1"/>
    <n v="2025"/>
    <n v="9310"/>
    <n v="3990"/>
    <n v="0.3"/>
  </r>
  <r>
    <n v="1007"/>
    <d v="2025-02-05T00:00:00"/>
    <x v="0"/>
    <x v="2"/>
    <x v="0"/>
    <s v="Electronics"/>
    <n v="1"/>
    <n v="60000"/>
    <n v="12"/>
    <n v="52800"/>
    <x v="1"/>
    <n v="2025"/>
    <n v="36960"/>
    <n v="15840"/>
    <n v="0.3"/>
  </r>
  <r>
    <n v="1008"/>
    <d v="2025-02-08T00:00:00"/>
    <x v="1"/>
    <x v="3"/>
    <x v="1"/>
    <s v="Accessories"/>
    <n v="6"/>
    <n v="1100"/>
    <n v="0"/>
    <n v="6600"/>
    <x v="1"/>
    <n v="2025"/>
    <n v="4620"/>
    <n v="1980"/>
    <n v="0.3"/>
  </r>
  <r>
    <n v="1009"/>
    <d v="2025-02-10T00:00:00"/>
    <x v="2"/>
    <x v="0"/>
    <x v="2"/>
    <s v="Accessories"/>
    <n v="5"/>
    <n v="2700"/>
    <n v="5"/>
    <n v="12825"/>
    <x v="1"/>
    <n v="2025"/>
    <n v="8977.5"/>
    <n v="3847.5"/>
    <n v="0.3"/>
  </r>
  <r>
    <n v="1010"/>
    <d v="2025-02-12T00:00:00"/>
    <x v="3"/>
    <x v="1"/>
    <x v="3"/>
    <s v="Electronics"/>
    <n v="2"/>
    <n v="20000"/>
    <n v="10"/>
    <n v="36000"/>
    <x v="1"/>
    <n v="2025"/>
    <n v="25200"/>
    <n v="10800"/>
    <n v="0.3"/>
  </r>
  <r>
    <n v="1011"/>
    <d v="2025-02-15T00:00:00"/>
    <x v="4"/>
    <x v="2"/>
    <x v="4"/>
    <s v="Electronics"/>
    <n v="1"/>
    <n v="9500"/>
    <n v="8"/>
    <n v="8740"/>
    <x v="1"/>
    <n v="2025"/>
    <n v="6118"/>
    <n v="2622"/>
    <n v="0.3"/>
  </r>
  <r>
    <n v="1012"/>
    <d v="2025-02-18T00:00:00"/>
    <x v="5"/>
    <x v="3"/>
    <x v="5"/>
    <s v="Accessories"/>
    <n v="3"/>
    <n v="4000"/>
    <n v="5"/>
    <n v="11400"/>
    <x v="1"/>
    <n v="2025"/>
    <n v="7979.9999999999991"/>
    <n v="3420.0000000000009"/>
    <n v="0.3"/>
  </r>
  <r>
    <n v="1013"/>
    <d v="2025-02-22T00:00:00"/>
    <x v="0"/>
    <x v="0"/>
    <x v="0"/>
    <s v="Electronics"/>
    <n v="2"/>
    <n v="58000"/>
    <n v="10"/>
    <n v="104400"/>
    <x v="1"/>
    <n v="2025"/>
    <n v="73080"/>
    <n v="31320"/>
    <n v="0.3"/>
  </r>
  <r>
    <n v="1014"/>
    <d v="2025-02-25T00:00:00"/>
    <x v="1"/>
    <x v="1"/>
    <x v="1"/>
    <s v="Accessories"/>
    <n v="8"/>
    <n v="1300"/>
    <n v="5"/>
    <n v="9880"/>
    <x v="1"/>
    <n v="2025"/>
    <n v="6916"/>
    <n v="2964"/>
    <n v="0.3"/>
  </r>
  <r>
    <n v="1015"/>
    <d v="2025-02-28T00:00:00"/>
    <x v="2"/>
    <x v="2"/>
    <x v="2"/>
    <s v="Accessories"/>
    <n v="4"/>
    <n v="2600"/>
    <n v="0"/>
    <n v="10400"/>
    <x v="1"/>
    <n v="2025"/>
    <n v="7279.9999999999991"/>
    <n v="3120.0000000000009"/>
    <n v="0.3"/>
  </r>
  <r>
    <n v="1016"/>
    <d v="2025-03-03T00:00:00"/>
    <x v="3"/>
    <x v="3"/>
    <x v="3"/>
    <s v="Electronics"/>
    <n v="1"/>
    <n v="22000"/>
    <n v="15"/>
    <n v="18700"/>
    <x v="2"/>
    <n v="2025"/>
    <n v="13090"/>
    <n v="5610"/>
    <n v="0.3"/>
  </r>
  <r>
    <n v="1017"/>
    <d v="2025-03-06T00:00:00"/>
    <x v="4"/>
    <x v="0"/>
    <x v="4"/>
    <s v="Electronics"/>
    <n v="3"/>
    <n v="8500"/>
    <n v="10"/>
    <n v="22950"/>
    <x v="2"/>
    <n v="2025"/>
    <n v="16064.999999999998"/>
    <n v="6885.0000000000018"/>
    <n v="0.3"/>
  </r>
  <r>
    <n v="1018"/>
    <d v="2025-03-09T00:00:00"/>
    <x v="5"/>
    <x v="1"/>
    <x v="5"/>
    <s v="Accessories"/>
    <n v="5"/>
    <n v="3800"/>
    <n v="5"/>
    <n v="18050"/>
    <x v="2"/>
    <n v="2025"/>
    <n v="12635"/>
    <n v="5415"/>
    <n v="0.3"/>
  </r>
  <r>
    <n v="1019"/>
    <d v="2025-03-12T00:00:00"/>
    <x v="0"/>
    <x v="2"/>
    <x v="0"/>
    <s v="Electronics"/>
    <n v="1"/>
    <n v="62000"/>
    <n v="8"/>
    <n v="57040"/>
    <x v="2"/>
    <n v="2025"/>
    <n v="39928"/>
    <n v="17112"/>
    <n v="0.3"/>
  </r>
  <r>
    <n v="1020"/>
    <d v="2025-03-15T00:00:00"/>
    <x v="1"/>
    <x v="3"/>
    <x v="1"/>
    <s v="Accessories"/>
    <n v="7"/>
    <n v="1250"/>
    <n v="0"/>
    <n v="8750"/>
    <x v="2"/>
    <n v="2025"/>
    <n v="6125"/>
    <n v="262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9450B4-9E50-480C-B257-1EF2E1036D3A}"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E7" firstHeaderRow="0" firstDataRow="1" firstDataCol="1"/>
  <pivotFields count="16">
    <pivotField dataField="1" showAll="0"/>
    <pivotField numFmtId="14" showAll="0"/>
    <pivotField showAll="0"/>
    <pivotField showAll="0">
      <items count="5">
        <item x="2"/>
        <item x="0"/>
        <item x="1"/>
        <item x="3"/>
        <item t="default"/>
      </items>
    </pivotField>
    <pivotField showAll="0">
      <items count="7">
        <item x="5"/>
        <item x="2"/>
        <item x="0"/>
        <item x="3"/>
        <item x="1"/>
        <item x="4"/>
        <item t="default"/>
      </items>
    </pivotField>
    <pivotField showAll="0"/>
    <pivotField showAll="0"/>
    <pivotField showAll="0"/>
    <pivotField showAll="0"/>
    <pivotField dataField="1" showAll="0"/>
    <pivotField axis="axisRow" showAll="0">
      <items count="4">
        <item x="0"/>
        <item x="1"/>
        <item x="2"/>
        <item t="default"/>
      </items>
    </pivotField>
    <pivotField showAll="0"/>
    <pivotField showAll="0"/>
    <pivotField dataField="1" showAll="0"/>
    <pivotField showAll="0"/>
    <pivotField dragToRow="0" dragToCol="0" dragToPage="0" showAll="0" defaultSubtotal="0"/>
  </pivotFields>
  <rowFields count="1">
    <field x="10"/>
  </rowFields>
  <rowItems count="4">
    <i>
      <x/>
    </i>
    <i>
      <x v="1"/>
    </i>
    <i>
      <x v="2"/>
    </i>
    <i t="grand">
      <x/>
    </i>
  </rowItems>
  <colFields count="1">
    <field x="-2"/>
  </colFields>
  <colItems count="4">
    <i>
      <x/>
    </i>
    <i i="1">
      <x v="1"/>
    </i>
    <i i="2">
      <x v="2"/>
    </i>
    <i i="3">
      <x v="3"/>
    </i>
  </colItems>
  <dataFields count="4">
    <dataField name="Sum of Revenue" fld="9" baseField="0" baseItem="0" numFmtId="164"/>
    <dataField name="Sum of Profit" fld="13" baseField="0" baseItem="0"/>
    <dataField name="Count of Order_ID" fld="0" subtotal="count" baseField="0" baseItem="1"/>
    <dataField name="Average of Revenue2" fld="9" subtotal="average" baseField="0" baseItem="1"/>
  </dataFields>
  <formats count="3">
    <format dxfId="11">
      <pivotArea dataOnly="0" labelOnly="1" outline="0" axis="axisValues" fieldPosition="0"/>
    </format>
    <format dxfId="10">
      <pivotArea outline="0" collapsedLevelsAreSubtotals="1" fieldPosition="0"/>
    </format>
    <format dxfId="9">
      <pivotArea outline="0" fieldPosition="0">
        <references count="1">
          <reference field="4294967294"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8CC828-ABBF-4B08-8A6B-84657A81CE17}" name="PivotTable4"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16">
    <pivotField showAll="0"/>
    <pivotField numFmtId="14" showAll="0"/>
    <pivotField showAll="0"/>
    <pivotField axis="axisRow" showAll="0">
      <items count="5">
        <item x="2"/>
        <item x="0"/>
        <item x="1"/>
        <item x="3"/>
        <item t="default"/>
      </items>
    </pivotField>
    <pivotField showAll="0">
      <items count="7">
        <item x="5"/>
        <item x="2"/>
        <item x="0"/>
        <item x="3"/>
        <item x="1"/>
        <item x="4"/>
        <item t="default"/>
      </items>
    </pivotField>
    <pivotField showAll="0"/>
    <pivotField showAll="0"/>
    <pivotField showAll="0"/>
    <pivotField showAll="0"/>
    <pivotField dataField="1" showAll="0"/>
    <pivotField showAll="0">
      <items count="4">
        <item x="0"/>
        <item x="1"/>
        <item x="2"/>
        <item t="default"/>
      </items>
    </pivotField>
    <pivotField showAll="0"/>
    <pivotField showAll="0"/>
    <pivotField showAll="0"/>
    <pivotField showAll="0"/>
    <pivotField dragToRow="0" dragToCol="0" dragToPage="0" showAll="0" defaultSubtotal="0"/>
  </pivotFields>
  <rowFields count="1">
    <field x="3"/>
  </rowFields>
  <rowItems count="5">
    <i>
      <x/>
    </i>
    <i>
      <x v="1"/>
    </i>
    <i>
      <x v="2"/>
    </i>
    <i>
      <x v="3"/>
    </i>
    <i t="grand">
      <x/>
    </i>
  </rowItems>
  <colItems count="1">
    <i/>
  </colItems>
  <dataFields count="1">
    <dataField name="Sum of Revenue" fld="9" baseField="0" baseItem="0" numFmtId="164"/>
  </dataFields>
  <formats count="1">
    <format dxfId="8">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C606EA-AEE1-4777-88FD-86403B731015}" name="PivotTable5"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6">
    <pivotField showAll="0"/>
    <pivotField numFmtId="14" showAll="0"/>
    <pivotField showAll="0"/>
    <pivotField showAll="0">
      <items count="5">
        <item x="2"/>
        <item x="0"/>
        <item x="1"/>
        <item x="3"/>
        <item t="default"/>
      </items>
    </pivotField>
    <pivotField axis="axisRow" showAll="0">
      <items count="7">
        <item x="5"/>
        <item x="2"/>
        <item x="0"/>
        <item x="3"/>
        <item x="1"/>
        <item x="4"/>
        <item t="default"/>
      </items>
    </pivotField>
    <pivotField showAll="0"/>
    <pivotField showAll="0"/>
    <pivotField showAll="0"/>
    <pivotField showAll="0"/>
    <pivotField showAll="0"/>
    <pivotField showAll="0">
      <items count="4">
        <item x="0"/>
        <item x="1"/>
        <item x="2"/>
        <item t="default"/>
      </items>
    </pivotField>
    <pivotField showAll="0"/>
    <pivotField showAll="0"/>
    <pivotField dataField="1" showAll="0"/>
    <pivotField showAll="0"/>
    <pivotField dragToRow="0" dragToCol="0" dragToPage="0" showAll="0" defaultSubtotal="0"/>
  </pivotFields>
  <rowFields count="1">
    <field x="4"/>
  </rowFields>
  <rowItems count="7">
    <i>
      <x/>
    </i>
    <i>
      <x v="1"/>
    </i>
    <i>
      <x v="2"/>
    </i>
    <i>
      <x v="3"/>
    </i>
    <i>
      <x v="4"/>
    </i>
    <i>
      <x v="5"/>
    </i>
    <i t="grand">
      <x/>
    </i>
  </rowItems>
  <colItems count="1">
    <i/>
  </colItems>
  <dataFields count="1">
    <dataField name="Sum of Profit" fld="13" baseField="0" baseItem="0" numFmtId="164"/>
  </dataFields>
  <formats count="1">
    <format dxfId="7">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C1D50A4-E3D8-4EF7-9567-C6F4A61D8D4B}"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7" firstHeaderRow="1" firstDataRow="1" firstDataCol="1"/>
  <pivotFields count="16">
    <pivotField showAll="0"/>
    <pivotField numFmtId="14" showAll="0"/>
    <pivotField showAll="0"/>
    <pivotField showAll="0">
      <items count="5">
        <item x="2"/>
        <item x="0"/>
        <item x="1"/>
        <item x="3"/>
        <item t="default"/>
      </items>
    </pivotField>
    <pivotField showAll="0">
      <items count="7">
        <item x="5"/>
        <item x="2"/>
        <item x="0"/>
        <item x="3"/>
        <item x="1"/>
        <item x="4"/>
        <item t="default"/>
      </items>
    </pivotField>
    <pivotField showAll="0"/>
    <pivotField showAll="0"/>
    <pivotField showAll="0"/>
    <pivotField showAll="0"/>
    <pivotField dataField="1" showAll="0"/>
    <pivotField axis="axisRow" showAll="0">
      <items count="4">
        <item x="0"/>
        <item x="1"/>
        <item x="2"/>
        <item t="default"/>
      </items>
    </pivotField>
    <pivotField showAll="0"/>
    <pivotField showAll="0"/>
    <pivotField showAll="0"/>
    <pivotField showAll="0"/>
    <pivotField dragToRow="0" dragToCol="0" dragToPage="0" showAll="0" defaultSubtotal="0"/>
  </pivotFields>
  <rowFields count="1">
    <field x="10"/>
  </rowFields>
  <rowItems count="4">
    <i>
      <x/>
    </i>
    <i>
      <x v="1"/>
    </i>
    <i>
      <x v="2"/>
    </i>
    <i t="grand">
      <x/>
    </i>
  </rowItems>
  <colItems count="1">
    <i/>
  </colItems>
  <dataFields count="1">
    <dataField name="Sum of Revenue" fld="9"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1A0E9D-B452-48B7-B63F-B769E7C6AF2B}"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0" firstHeaderRow="1" firstDataRow="1" firstDataCol="1"/>
  <pivotFields count="16">
    <pivotField showAll="0"/>
    <pivotField numFmtId="14" showAll="0"/>
    <pivotField showAll="0"/>
    <pivotField showAll="0">
      <items count="5">
        <item x="2"/>
        <item x="0"/>
        <item x="1"/>
        <item x="3"/>
        <item t="default"/>
      </items>
    </pivotField>
    <pivotField axis="axisRow" showAll="0" maxSubtotal="1">
      <items count="7">
        <item x="5"/>
        <item x="2"/>
        <item x="0"/>
        <item x="3"/>
        <item x="1"/>
        <item x="4"/>
        <item t="max"/>
      </items>
    </pivotField>
    <pivotField showAll="0"/>
    <pivotField showAll="0"/>
    <pivotField dataField="1" showAll="0"/>
    <pivotField showAll="0"/>
    <pivotField showAll="0"/>
    <pivotField showAll="0">
      <items count="4">
        <item x="0"/>
        <item x="1"/>
        <item x="2"/>
        <item t="default"/>
      </items>
    </pivotField>
    <pivotField showAll="0"/>
    <pivotField showAll="0"/>
    <pivotField showAll="0"/>
    <pivotField showAll="0"/>
    <pivotField dragToRow="0" dragToCol="0" dragToPage="0" showAll="0" defaultSubtotal="0"/>
  </pivotFields>
  <rowFields count="1">
    <field x="4"/>
  </rowFields>
  <rowItems count="7">
    <i>
      <x/>
    </i>
    <i>
      <x v="1"/>
    </i>
    <i>
      <x v="2"/>
    </i>
    <i>
      <x v="3"/>
    </i>
    <i>
      <x v="4"/>
    </i>
    <i>
      <x v="5"/>
    </i>
    <i t="grand">
      <x/>
    </i>
  </rowItems>
  <colItems count="1">
    <i/>
  </colItems>
  <dataFields count="1">
    <dataField name="Max of Unit_Price" fld="7" subtotal="max" baseField="4"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9E0886-5BD0-4BE7-BCDB-5E4AFAC7A050}"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16">
    <pivotField showAll="0"/>
    <pivotField numFmtId="14" showAll="0"/>
    <pivotField showAll="0"/>
    <pivotField showAll="0">
      <items count="5">
        <item x="2"/>
        <item x="0"/>
        <item x="1"/>
        <item x="3"/>
        <item t="default"/>
      </items>
    </pivotField>
    <pivotField showAll="0">
      <items count="7">
        <item x="5"/>
        <item x="2"/>
        <item x="0"/>
        <item x="3"/>
        <item x="1"/>
        <item x="4"/>
        <item t="default"/>
      </items>
    </pivotField>
    <pivotField showAll="0"/>
    <pivotField showAll="0"/>
    <pivotField showAll="0"/>
    <pivotField showAll="0"/>
    <pivotField dataField="1" showAll="0"/>
    <pivotField showAll="0">
      <items count="4">
        <item x="0"/>
        <item x="1"/>
        <item x="2"/>
        <item t="default"/>
      </items>
    </pivotField>
    <pivotField showAll="0"/>
    <pivotField showAll="0"/>
    <pivotField dataField="1" showAll="0"/>
    <pivotField showAll="0"/>
    <pivotField dataField="1" dragToRow="0" dragToCol="0" dragToPage="0" showAll="0" defaultSubtotal="0"/>
  </pivotFields>
  <rowItems count="1">
    <i/>
  </rowItems>
  <colFields count="1">
    <field x="-2"/>
  </colFields>
  <colItems count="3">
    <i>
      <x/>
    </i>
    <i i="1">
      <x v="1"/>
    </i>
    <i i="2">
      <x v="2"/>
    </i>
  </colItems>
  <dataFields count="3">
    <dataField name="Sum of Profit" fld="13" baseField="0" baseItem="0"/>
    <dataField name="Sum of Revenue" fld="9" baseField="0" baseItem="0"/>
    <dataField name="Sum of MARGINE%" fld="15"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C9D56F-7E78-423F-A195-2A07DD284817}"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6">
    <pivotField showAll="0"/>
    <pivotField numFmtId="14" showAll="0"/>
    <pivotField axis="axisRow" showAll="0" sortType="descending">
      <items count="7">
        <item x="0"/>
        <item x="2"/>
        <item x="4"/>
        <item x="1"/>
        <item x="5"/>
        <item x="3"/>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7">
        <item x="5"/>
        <item x="2"/>
        <item x="0"/>
        <item x="3"/>
        <item x="1"/>
        <item x="4"/>
        <item t="default"/>
      </items>
    </pivotField>
    <pivotField showAll="0"/>
    <pivotField showAll="0"/>
    <pivotField showAll="0"/>
    <pivotField showAll="0"/>
    <pivotField dataField="1" showAll="0"/>
    <pivotField showAll="0">
      <items count="4">
        <item x="0"/>
        <item x="1"/>
        <item x="2"/>
        <item t="default"/>
      </items>
    </pivotField>
    <pivotField showAll="0"/>
    <pivotField showAll="0"/>
    <pivotField showAll="0"/>
    <pivotField showAll="0"/>
    <pivotField dragToRow="0" dragToCol="0" dragToPage="0" showAll="0" defaultSubtotal="0"/>
  </pivotFields>
  <rowFields count="1">
    <field x="2"/>
  </rowFields>
  <rowItems count="7">
    <i>
      <x/>
    </i>
    <i>
      <x v="5"/>
    </i>
    <i>
      <x v="2"/>
    </i>
    <i>
      <x v="4"/>
    </i>
    <i>
      <x v="3"/>
    </i>
    <i>
      <x v="1"/>
    </i>
    <i t="grand">
      <x/>
    </i>
  </rowItems>
  <colItems count="1">
    <i/>
  </colItems>
  <dataFields count="1">
    <dataField name="Sum of Revenue" fld="9" baseField="0" baseItem="0" numFmtId="164"/>
  </dataFields>
  <formats count="1">
    <format dxfId="0">
      <pivotArea outline="0" collapsedLevelsAreSubtotals="1" fieldPosition="0"/>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2846C37-A7AE-491E-8421-5AF564DB95D0}"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10" firstHeaderRow="1" firstDataRow="1" firstDataCol="1"/>
  <pivotFields count="16">
    <pivotField showAll="0"/>
    <pivotField numFmtId="14" showAll="0"/>
    <pivotField showAll="0"/>
    <pivotField showAll="0">
      <items count="5">
        <item x="2"/>
        <item x="0"/>
        <item x="1"/>
        <item x="3"/>
        <item t="default"/>
      </items>
    </pivotField>
    <pivotField axis="axisRow" showAll="0" sortType="descending">
      <items count="7">
        <item x="5"/>
        <item x="2"/>
        <item x="0"/>
        <item x="3"/>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items count="4">
        <item x="0"/>
        <item x="1"/>
        <item x="2"/>
        <item t="default"/>
      </items>
    </pivotField>
    <pivotField showAll="0"/>
    <pivotField showAll="0"/>
    <pivotField showAll="0"/>
    <pivotField showAll="0"/>
    <pivotField dragToRow="0" dragToCol="0" dragToPage="0" showAll="0" defaultSubtotal="0"/>
  </pivotFields>
  <rowFields count="1">
    <field x="4"/>
  </rowFields>
  <rowItems count="7">
    <i>
      <x v="2"/>
    </i>
    <i>
      <x v="3"/>
    </i>
    <i>
      <x v="5"/>
    </i>
    <i>
      <x/>
    </i>
    <i>
      <x v="4"/>
    </i>
    <i>
      <x v="1"/>
    </i>
    <i t="grand">
      <x/>
    </i>
  </rowItems>
  <colItems count="1">
    <i/>
  </colItems>
  <dataFields count="1">
    <dataField name="Sum of Revenue" fld="9" baseField="0" baseItem="0"/>
  </dataFields>
  <chartFormats count="6">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 chart="2" format="9">
      <pivotArea type="data" outline="0" fieldPosition="0">
        <references count="2">
          <reference field="4294967294" count="1" selected="0">
            <x v="0"/>
          </reference>
          <reference field="4" count="1" selected="0">
            <x v="3"/>
          </reference>
        </references>
      </pivotArea>
    </chartFormat>
    <chartFormat chart="2" format="10">
      <pivotArea type="data" outline="0" fieldPosition="0">
        <references count="2">
          <reference field="4294967294" count="1" selected="0">
            <x v="0"/>
          </reference>
          <reference field="4" count="1" selected="0">
            <x v="5"/>
          </reference>
        </references>
      </pivotArea>
    </chartFormat>
    <chartFormat chart="2" format="11">
      <pivotArea type="data" outline="0" fieldPosition="0">
        <references count="2">
          <reference field="4294967294" count="1" selected="0">
            <x v="0"/>
          </reference>
          <reference field="4" count="1" selected="0">
            <x v="0"/>
          </reference>
        </references>
      </pivotArea>
    </chartFormat>
    <chartFormat chart="2"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3" xr16:uid="{DCB8CD40-021A-43E3-9689-122F4E968982}" autoFormatId="16" applyNumberFormats="0" applyBorderFormats="0" applyFontFormats="0" applyPatternFormats="0" applyAlignmentFormats="0" applyWidthHeightFormats="0">
  <queryTableRefresh nextId="16">
    <queryTableFields count="15">
      <queryTableField id="1" name="Order_ID" tableColumnId="1"/>
      <queryTableField id="2" name="Order_Date" tableColumnId="2"/>
      <queryTableField id="3" name="Customer_Name" tableColumnId="3"/>
      <queryTableField id="4" name="Region" tableColumnId="4"/>
      <queryTableField id="5" name="Product" tableColumnId="5"/>
      <queryTableField id="6" name="Category" tableColumnId="6"/>
      <queryTableField id="7" name="Units" tableColumnId="7"/>
      <queryTableField id="8" name="Unit_Price" tableColumnId="8"/>
      <queryTableField id="9" name="Discount" tableColumnId="9"/>
      <queryTableField id="10" name="Revenue" tableColumnId="10"/>
      <queryTableField id="11" name="Month Name" tableColumnId="11"/>
      <queryTableField id="12" name="Year" tableColumnId="12"/>
      <queryTableField id="13" name="Cost" tableColumnId="13"/>
      <queryTableField id="14" name="Profit" tableColumnId="14"/>
      <queryTableField id="15" name="Margine_%"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3FE412-8C40-4721-A76B-25BE2E03F1F4}" sourceName="Region">
  <pivotTables>
    <pivotTable tabId="6" name="PivotTable4"/>
    <pivotTable tabId="5" name="PivotTable1"/>
    <pivotTable tabId="7" name="PivotTable5"/>
    <pivotTable tabId="12" name="PivotTable2"/>
    <pivotTable tabId="8" name="PivotTable1"/>
    <pivotTable tabId="9" name="PivotTable1"/>
    <pivotTable tabId="10" name="PivotTable2"/>
    <pivotTable tabId="11" name="PivotTable1"/>
  </pivotTables>
  <data>
    <tabular pivotCacheId="1845700827">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5154077-0ACD-4C9E-A6E8-2F0A7AFCC95F}" sourceName="Product">
  <pivotTables>
    <pivotTable tabId="6" name="PivotTable4"/>
    <pivotTable tabId="5" name="PivotTable1"/>
    <pivotTable tabId="7" name="PivotTable5"/>
    <pivotTable tabId="12" name="PivotTable2"/>
    <pivotTable tabId="8" name="PivotTable1"/>
    <pivotTable tabId="9" name="PivotTable1"/>
    <pivotTable tabId="10" name="PivotTable2"/>
    <pivotTable tabId="11" name="PivotTable1"/>
  </pivotTables>
  <data>
    <tabular pivotCacheId="1845700827">
      <items count="6">
        <i x="5" s="1"/>
        <i x="2" s="1"/>
        <i x="0"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78F4384-E16B-449A-8A71-ED45858AD596}" sourceName="Month Name">
  <pivotTables>
    <pivotTable tabId="6" name="PivotTable4"/>
    <pivotTable tabId="5" name="PivotTable1"/>
    <pivotTable tabId="7" name="PivotTable5"/>
    <pivotTable tabId="12" name="PivotTable2"/>
    <pivotTable tabId="8" name="PivotTable1"/>
    <pivotTable tabId="9" name="PivotTable1"/>
    <pivotTable tabId="10" name="PivotTable2"/>
    <pivotTable tabId="11" name="PivotTable1"/>
  </pivotTables>
  <data>
    <tabular pivotCacheId="18457008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B18314F-7541-41E4-8D89-E5C7FFFC5973}" cache="Slicer_Region" caption="Region" style="SlicerStyleLight2" rowHeight="241300"/>
  <slicer name="Product" xr10:uid="{77F0EF03-1CDC-49AD-98F2-58BA3AD3EDD1}" cache="Slicer_Product" caption="Product" style="SlicerStyleLight2" rowHeight="241300"/>
  <slicer name="Month Name" xr10:uid="{013D24CE-3123-4622-9E8C-9DCA19813879}" cache="Slicer_Month_Name" caption="Month Name" style="SlicerStyleLight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7952698-F5A4-4CC3-8AFF-EA81BBDB029C}" name="Table1_4" displayName="Table1_4" ref="A1:O21" tableType="queryTable" totalsRowShown="0">
  <autoFilter ref="A1:O21" xr:uid="{2192AD7A-3383-4723-999B-43EAE4F3AA7F}"/>
  <tableColumns count="15">
    <tableColumn id="1" xr3:uid="{F768E4A5-7390-468F-8701-065F8929E6C8}" uniqueName="1" name="Order_ID" queryTableFieldId="1"/>
    <tableColumn id="2" xr3:uid="{9E14DB0A-C6D9-4845-B95B-252295A76AA3}" uniqueName="2" name="Order_Date" queryTableFieldId="2" dataDxfId="6"/>
    <tableColumn id="3" xr3:uid="{C0C99C43-522C-4273-99B9-D37E30A7488E}" uniqueName="3" name="Customer_Name" queryTableFieldId="3" dataDxfId="5"/>
    <tableColumn id="4" xr3:uid="{50F0038C-26F6-423A-B067-57F887496C06}" uniqueName="4" name="Region" queryTableFieldId="4" dataDxfId="4"/>
    <tableColumn id="5" xr3:uid="{C622F3C5-A64A-4C13-819C-28A0AB306CF1}" uniqueName="5" name="Product" queryTableFieldId="5" dataDxfId="3"/>
    <tableColumn id="6" xr3:uid="{195EF743-1C8E-49F3-A46C-B625D5896C22}" uniqueName="6" name="Category" queryTableFieldId="6" dataDxfId="2"/>
    <tableColumn id="7" xr3:uid="{EE7713AA-491C-4D3D-A055-7A034869E6A5}" uniqueName="7" name="Units" queryTableFieldId="7"/>
    <tableColumn id="8" xr3:uid="{940F1B5F-C621-49CD-9E17-83636F0FEB2A}" uniqueName="8" name="Unit_Price" queryTableFieldId="8"/>
    <tableColumn id="9" xr3:uid="{DA76E3C8-805B-4442-8B04-E48D9536480E}" uniqueName="9" name="Discount" queryTableFieldId="9"/>
    <tableColumn id="10" xr3:uid="{D39A3954-E97C-43B4-BAB6-FE5AFE4B988E}" uniqueName="10" name="Revenue" queryTableFieldId="10"/>
    <tableColumn id="11" xr3:uid="{3399D436-7B95-4166-B220-6565E81C2AD3}" uniqueName="11" name="Month Name" queryTableFieldId="11" dataDxfId="1"/>
    <tableColumn id="12" xr3:uid="{E7FCE22B-A93F-4F42-9249-518C1AED1DCE}" uniqueName="12" name="Year" queryTableFieldId="12"/>
    <tableColumn id="13" xr3:uid="{89420768-0D7B-4FEB-AB61-87916A791CDF}" uniqueName="13" name="Cost" queryTableFieldId="13"/>
    <tableColumn id="14" xr3:uid="{AC189253-6C3D-46CD-82D8-7F37C5B41DEA}" uniqueName="14" name="Profit" queryTableFieldId="14"/>
    <tableColumn id="15" xr3:uid="{F98A5E44-027A-4FAB-A30A-B3FDED903C44}" uniqueName="15" name="Margine_%"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F43FA-23A7-4925-B208-ABF3884701B8}">
  <dimension ref="A3:E7"/>
  <sheetViews>
    <sheetView zoomScaleNormal="100" workbookViewId="0">
      <selection activeCell="M4" sqref="M4"/>
    </sheetView>
  </sheetViews>
  <sheetFormatPr defaultRowHeight="15" x14ac:dyDescent="0.25"/>
  <cols>
    <col min="1" max="1" width="13.140625" bestFit="1" customWidth="1"/>
    <col min="2" max="2" width="15.5703125" bestFit="1" customWidth="1"/>
    <col min="3" max="3" width="12.5703125" bestFit="1" customWidth="1"/>
    <col min="4" max="4" width="17.28515625" bestFit="1" customWidth="1"/>
    <col min="5" max="5" width="20.140625" bestFit="1" customWidth="1"/>
  </cols>
  <sheetData>
    <row r="3" spans="1:5" x14ac:dyDescent="0.25">
      <c r="A3" s="4" t="s">
        <v>40</v>
      </c>
      <c r="B3" t="s">
        <v>36</v>
      </c>
      <c r="C3" t="s">
        <v>37</v>
      </c>
      <c r="D3" t="s">
        <v>38</v>
      </c>
      <c r="E3" t="s">
        <v>39</v>
      </c>
    </row>
    <row r="4" spans="1:5" x14ac:dyDescent="0.25">
      <c r="A4" s="5" t="s">
        <v>33</v>
      </c>
      <c r="B4" s="3">
        <v>143700</v>
      </c>
      <c r="C4" s="3">
        <v>43110</v>
      </c>
      <c r="D4" s="2">
        <v>5</v>
      </c>
      <c r="E4" s="3">
        <v>28740</v>
      </c>
    </row>
    <row r="5" spans="1:5" x14ac:dyDescent="0.25">
      <c r="A5" s="5" t="s">
        <v>34</v>
      </c>
      <c r="B5" s="3">
        <v>266345</v>
      </c>
      <c r="C5" s="3">
        <v>79903.5</v>
      </c>
      <c r="D5" s="2">
        <v>10</v>
      </c>
      <c r="E5" s="3">
        <v>26634.5</v>
      </c>
    </row>
    <row r="6" spans="1:5" x14ac:dyDescent="0.25">
      <c r="A6" s="5" t="s">
        <v>35</v>
      </c>
      <c r="B6" s="3">
        <v>125490</v>
      </c>
      <c r="C6" s="3">
        <v>37647</v>
      </c>
      <c r="D6" s="2">
        <v>5</v>
      </c>
      <c r="E6" s="3">
        <v>25098</v>
      </c>
    </row>
    <row r="7" spans="1:5" x14ac:dyDescent="0.25">
      <c r="A7" s="5" t="s">
        <v>41</v>
      </c>
      <c r="B7" s="3">
        <v>535535</v>
      </c>
      <c r="C7" s="3">
        <v>160660.5</v>
      </c>
      <c r="D7" s="2">
        <v>20</v>
      </c>
      <c r="E7" s="3">
        <v>26776.75</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D9ABE-4441-4576-822F-3AC2D2E6C7B2}">
  <dimension ref="A3:B8"/>
  <sheetViews>
    <sheetView workbookViewId="0">
      <selection activeCell="F24" sqref="F24"/>
    </sheetView>
  </sheetViews>
  <sheetFormatPr defaultRowHeight="15" x14ac:dyDescent="0.25"/>
  <cols>
    <col min="1" max="1" width="13.140625" bestFit="1" customWidth="1"/>
    <col min="2" max="2" width="15.5703125" bestFit="1" customWidth="1"/>
  </cols>
  <sheetData>
    <row r="3" spans="1:2" x14ac:dyDescent="0.25">
      <c r="A3" s="4" t="s">
        <v>40</v>
      </c>
      <c r="B3" t="s">
        <v>36</v>
      </c>
    </row>
    <row r="4" spans="1:2" x14ac:dyDescent="0.25">
      <c r="A4" s="5" t="s">
        <v>18</v>
      </c>
      <c r="B4" s="3">
        <v>136480</v>
      </c>
    </row>
    <row r="5" spans="1:2" x14ac:dyDescent="0.25">
      <c r="A5" s="5" t="s">
        <v>10</v>
      </c>
      <c r="B5" s="3">
        <v>255375</v>
      </c>
    </row>
    <row r="6" spans="1:2" x14ac:dyDescent="0.25">
      <c r="A6" s="5" t="s">
        <v>14</v>
      </c>
      <c r="B6" s="3">
        <v>82930</v>
      </c>
    </row>
    <row r="7" spans="1:2" x14ac:dyDescent="0.25">
      <c r="A7" s="5" t="s">
        <v>21</v>
      </c>
      <c r="B7" s="3">
        <v>60750</v>
      </c>
    </row>
    <row r="8" spans="1:2" x14ac:dyDescent="0.25">
      <c r="A8" s="5" t="s">
        <v>41</v>
      </c>
      <c r="B8" s="3">
        <v>535535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7E13A-CB34-4327-968C-052312E4F1BF}">
  <dimension ref="A3:B10"/>
  <sheetViews>
    <sheetView workbookViewId="0">
      <selection activeCell="M6" sqref="M6"/>
    </sheetView>
  </sheetViews>
  <sheetFormatPr defaultRowHeight="15" x14ac:dyDescent="0.25"/>
  <cols>
    <col min="1" max="1" width="13.140625" bestFit="1" customWidth="1"/>
    <col min="2" max="2" width="12.5703125" bestFit="1" customWidth="1"/>
  </cols>
  <sheetData>
    <row r="3" spans="1:2" x14ac:dyDescent="0.25">
      <c r="A3" s="4" t="s">
        <v>40</v>
      </c>
      <c r="B3" t="s">
        <v>37</v>
      </c>
    </row>
    <row r="4" spans="1:2" x14ac:dyDescent="0.25">
      <c r="A4" s="5" t="s">
        <v>26</v>
      </c>
      <c r="B4" s="3">
        <v>12825</v>
      </c>
    </row>
    <row r="5" spans="1:2" x14ac:dyDescent="0.25">
      <c r="A5" s="5" t="s">
        <v>19</v>
      </c>
      <c r="B5" s="3">
        <v>9217.5</v>
      </c>
    </row>
    <row r="6" spans="1:2" x14ac:dyDescent="0.25">
      <c r="A6" s="5" t="s">
        <v>11</v>
      </c>
      <c r="B6" s="3">
        <v>93972</v>
      </c>
    </row>
    <row r="7" spans="1:2" x14ac:dyDescent="0.25">
      <c r="A7" s="5" t="s">
        <v>22</v>
      </c>
      <c r="B7" s="3">
        <v>21000</v>
      </c>
    </row>
    <row r="8" spans="1:2" x14ac:dyDescent="0.25">
      <c r="A8" s="5" t="s">
        <v>15</v>
      </c>
      <c r="B8" s="3">
        <v>9279</v>
      </c>
    </row>
    <row r="9" spans="1:2" x14ac:dyDescent="0.25">
      <c r="A9" s="5" t="s">
        <v>24</v>
      </c>
      <c r="B9" s="3">
        <v>14367.000000000002</v>
      </c>
    </row>
    <row r="10" spans="1:2" x14ac:dyDescent="0.25">
      <c r="A10" s="5" t="s">
        <v>41</v>
      </c>
      <c r="B10" s="3">
        <v>160660.5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4A5389-3E67-4502-9030-03AF4F386618}">
  <dimension ref="A3:B7"/>
  <sheetViews>
    <sheetView workbookViewId="0">
      <selection activeCell="M4" sqref="M4"/>
    </sheetView>
  </sheetViews>
  <sheetFormatPr defaultRowHeight="15" x14ac:dyDescent="0.25"/>
  <cols>
    <col min="1" max="1" width="13.140625" bestFit="1" customWidth="1"/>
    <col min="2" max="2" width="15.5703125" bestFit="1" customWidth="1"/>
  </cols>
  <sheetData>
    <row r="3" spans="1:2" x14ac:dyDescent="0.25">
      <c r="A3" s="4" t="s">
        <v>40</v>
      </c>
      <c r="B3" t="s">
        <v>36</v>
      </c>
    </row>
    <row r="4" spans="1:2" x14ac:dyDescent="0.25">
      <c r="A4" s="5" t="s">
        <v>33</v>
      </c>
      <c r="B4" s="2">
        <v>143700</v>
      </c>
    </row>
    <row r="5" spans="1:2" x14ac:dyDescent="0.25">
      <c r="A5" s="5" t="s">
        <v>34</v>
      </c>
      <c r="B5" s="2">
        <v>266345</v>
      </c>
    </row>
    <row r="6" spans="1:2" x14ac:dyDescent="0.25">
      <c r="A6" s="5" t="s">
        <v>35</v>
      </c>
      <c r="B6" s="2">
        <v>125490</v>
      </c>
    </row>
    <row r="7" spans="1:2" x14ac:dyDescent="0.25">
      <c r="A7" s="5" t="s">
        <v>41</v>
      </c>
      <c r="B7" s="2">
        <v>535535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04DB-46CA-4499-B4AC-014D74602CF3}">
  <dimension ref="A3:B10"/>
  <sheetViews>
    <sheetView workbookViewId="0">
      <selection activeCell="B9" sqref="B9"/>
    </sheetView>
  </sheetViews>
  <sheetFormatPr defaultRowHeight="15" x14ac:dyDescent="0.25"/>
  <cols>
    <col min="1" max="1" width="13.140625" bestFit="1" customWidth="1"/>
    <col min="2" max="2" width="17" bestFit="1" customWidth="1"/>
  </cols>
  <sheetData>
    <row r="3" spans="1:2" x14ac:dyDescent="0.25">
      <c r="A3" s="4" t="s">
        <v>40</v>
      </c>
      <c r="B3" t="s">
        <v>42</v>
      </c>
    </row>
    <row r="4" spans="1:2" x14ac:dyDescent="0.25">
      <c r="A4" s="5" t="s">
        <v>26</v>
      </c>
      <c r="B4" s="2">
        <v>4000</v>
      </c>
    </row>
    <row r="5" spans="1:2" x14ac:dyDescent="0.25">
      <c r="A5" s="5" t="s">
        <v>19</v>
      </c>
      <c r="B5" s="2">
        <v>2700</v>
      </c>
    </row>
    <row r="6" spans="1:2" x14ac:dyDescent="0.25">
      <c r="A6" s="5" t="s">
        <v>11</v>
      </c>
      <c r="B6" s="2">
        <v>62000</v>
      </c>
    </row>
    <row r="7" spans="1:2" x14ac:dyDescent="0.25">
      <c r="A7" s="5" t="s">
        <v>22</v>
      </c>
      <c r="B7" s="2">
        <v>22000</v>
      </c>
    </row>
    <row r="8" spans="1:2" x14ac:dyDescent="0.25">
      <c r="A8" s="5" t="s">
        <v>15</v>
      </c>
      <c r="B8" s="2">
        <v>1300</v>
      </c>
    </row>
    <row r="9" spans="1:2" x14ac:dyDescent="0.25">
      <c r="A9" s="5" t="s">
        <v>24</v>
      </c>
      <c r="B9" s="2">
        <v>9500</v>
      </c>
    </row>
    <row r="10" spans="1:2" x14ac:dyDescent="0.25">
      <c r="A10" s="5" t="s">
        <v>41</v>
      </c>
      <c r="B10" s="2">
        <v>62000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350EE-6F80-4C1F-9464-F806D8960428}">
  <dimension ref="A3:C4"/>
  <sheetViews>
    <sheetView workbookViewId="0">
      <selection activeCell="C11" sqref="C11"/>
    </sheetView>
  </sheetViews>
  <sheetFormatPr defaultRowHeight="15" x14ac:dyDescent="0.25"/>
  <cols>
    <col min="1" max="1" width="12.5703125" bestFit="1" customWidth="1"/>
    <col min="2" max="2" width="15.5703125" bestFit="1" customWidth="1"/>
    <col min="3" max="3" width="18.140625" bestFit="1" customWidth="1"/>
  </cols>
  <sheetData>
    <row r="3" spans="1:3" x14ac:dyDescent="0.25">
      <c r="A3" t="s">
        <v>37</v>
      </c>
      <c r="B3" t="s">
        <v>36</v>
      </c>
      <c r="C3" t="s">
        <v>43</v>
      </c>
    </row>
    <row r="4" spans="1:3" x14ac:dyDescent="0.25">
      <c r="A4" s="2">
        <v>160660.5</v>
      </c>
      <c r="B4" s="2">
        <v>535535</v>
      </c>
      <c r="C4" s="9">
        <v>0.3</v>
      </c>
    </row>
  </sheetData>
  <pageMargins left="0.7" right="0.7" top="0.75" bottom="0.75" header="0.3" footer="0.3"/>
  <pageSetup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773C-FCD0-462E-8172-1CA2AC888E12}">
  <dimension ref="A3:B10"/>
  <sheetViews>
    <sheetView workbookViewId="0">
      <selection activeCell="L4" sqref="L4"/>
    </sheetView>
  </sheetViews>
  <sheetFormatPr defaultRowHeight="15" x14ac:dyDescent="0.25"/>
  <cols>
    <col min="1" max="1" width="13.28515625" bestFit="1" customWidth="1"/>
    <col min="2" max="2" width="15.5703125" bestFit="1" customWidth="1"/>
  </cols>
  <sheetData>
    <row r="3" spans="1:2" x14ac:dyDescent="0.25">
      <c r="A3" s="4" t="s">
        <v>40</v>
      </c>
      <c r="B3" t="s">
        <v>36</v>
      </c>
    </row>
    <row r="4" spans="1:2" x14ac:dyDescent="0.25">
      <c r="A4" s="5" t="s">
        <v>9</v>
      </c>
      <c r="B4" s="3">
        <v>313240</v>
      </c>
    </row>
    <row r="5" spans="1:2" x14ac:dyDescent="0.25">
      <c r="A5" s="5" t="s">
        <v>20</v>
      </c>
      <c r="B5" s="3">
        <v>70000</v>
      </c>
    </row>
    <row r="6" spans="1:2" x14ac:dyDescent="0.25">
      <c r="A6" s="5" t="s">
        <v>23</v>
      </c>
      <c r="B6" s="3">
        <v>47890</v>
      </c>
    </row>
    <row r="7" spans="1:2" x14ac:dyDescent="0.25">
      <c r="A7" s="5" t="s">
        <v>25</v>
      </c>
      <c r="B7" s="3">
        <v>42750</v>
      </c>
    </row>
    <row r="8" spans="1:2" x14ac:dyDescent="0.25">
      <c r="A8" s="5" t="s">
        <v>13</v>
      </c>
      <c r="B8" s="3">
        <v>30930</v>
      </c>
    </row>
    <row r="9" spans="1:2" x14ac:dyDescent="0.25">
      <c r="A9" s="5" t="s">
        <v>17</v>
      </c>
      <c r="B9" s="3">
        <v>30725</v>
      </c>
    </row>
    <row r="10" spans="1:2" x14ac:dyDescent="0.25">
      <c r="A10" s="5" t="s">
        <v>41</v>
      </c>
      <c r="B10" s="3">
        <v>535535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6E76C-A99B-45D7-9BF9-79AD3BCFA2C9}">
  <dimension ref="A3:B10"/>
  <sheetViews>
    <sheetView workbookViewId="0">
      <selection activeCell="L15" sqref="L15"/>
    </sheetView>
  </sheetViews>
  <sheetFormatPr defaultRowHeight="15" x14ac:dyDescent="0.25"/>
  <cols>
    <col min="1" max="1" width="13.140625" bestFit="1" customWidth="1"/>
    <col min="2" max="2" width="15.5703125" bestFit="1" customWidth="1"/>
  </cols>
  <sheetData>
    <row r="3" spans="1:2" x14ac:dyDescent="0.25">
      <c r="A3" s="4" t="s">
        <v>40</v>
      </c>
      <c r="B3" t="s">
        <v>36</v>
      </c>
    </row>
    <row r="4" spans="1:2" x14ac:dyDescent="0.25">
      <c r="A4" s="5" t="s">
        <v>11</v>
      </c>
      <c r="B4" s="2">
        <v>313240</v>
      </c>
    </row>
    <row r="5" spans="1:2" x14ac:dyDescent="0.25">
      <c r="A5" s="5" t="s">
        <v>22</v>
      </c>
      <c r="B5" s="2">
        <v>70000</v>
      </c>
    </row>
    <row r="6" spans="1:2" x14ac:dyDescent="0.25">
      <c r="A6" s="5" t="s">
        <v>24</v>
      </c>
      <c r="B6" s="2">
        <v>47890</v>
      </c>
    </row>
    <row r="7" spans="1:2" x14ac:dyDescent="0.25">
      <c r="A7" s="5" t="s">
        <v>26</v>
      </c>
      <c r="B7" s="2">
        <v>42750</v>
      </c>
    </row>
    <row r="8" spans="1:2" x14ac:dyDescent="0.25">
      <c r="A8" s="5" t="s">
        <v>15</v>
      </c>
      <c r="B8" s="2">
        <v>30930</v>
      </c>
    </row>
    <row r="9" spans="1:2" x14ac:dyDescent="0.25">
      <c r="A9" s="5" t="s">
        <v>19</v>
      </c>
      <c r="B9" s="2">
        <v>30725</v>
      </c>
    </row>
    <row r="10" spans="1:2" x14ac:dyDescent="0.25">
      <c r="A10" s="5" t="s">
        <v>41</v>
      </c>
      <c r="B10" s="2">
        <v>535535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B94B0-FB51-4228-BE85-9E7375D4BCCC}">
  <dimension ref="A1:O21"/>
  <sheetViews>
    <sheetView workbookViewId="0">
      <selection sqref="A1:O21"/>
    </sheetView>
  </sheetViews>
  <sheetFormatPr defaultRowHeight="15" x14ac:dyDescent="0.25"/>
  <cols>
    <col min="1" max="1" width="11.28515625" bestFit="1" customWidth="1"/>
    <col min="2" max="2" width="13.5703125" bestFit="1" customWidth="1"/>
    <col min="3" max="3" width="18.28515625" bestFit="1" customWidth="1"/>
    <col min="4" max="4" width="9.42578125" bestFit="1" customWidth="1"/>
    <col min="5" max="6" width="11.28515625" bestFit="1" customWidth="1"/>
    <col min="7" max="7" width="8" bestFit="1" customWidth="1"/>
    <col min="8" max="8" width="12.5703125" bestFit="1" customWidth="1"/>
    <col min="9" max="9" width="11" bestFit="1" customWidth="1"/>
    <col min="10" max="10" width="11.140625" bestFit="1" customWidth="1"/>
    <col min="11" max="11" width="15" bestFit="1" customWidth="1"/>
    <col min="12" max="12" width="7.28515625" bestFit="1" customWidth="1"/>
    <col min="13" max="13" width="7.140625" bestFit="1" customWidth="1"/>
    <col min="14" max="14" width="8.28515625" bestFit="1" customWidth="1"/>
    <col min="15" max="15" width="13.28515625" bestFit="1" customWidth="1"/>
  </cols>
  <sheetData>
    <row r="1" spans="1:15" x14ac:dyDescent="0.25">
      <c r="A1" t="s">
        <v>0</v>
      </c>
      <c r="B1" t="s">
        <v>1</v>
      </c>
      <c r="C1" t="s">
        <v>2</v>
      </c>
      <c r="D1" t="s">
        <v>3</v>
      </c>
      <c r="E1" t="s">
        <v>4</v>
      </c>
      <c r="F1" t="s">
        <v>5</v>
      </c>
      <c r="G1" t="s">
        <v>6</v>
      </c>
      <c r="H1" t="s">
        <v>7</v>
      </c>
      <c r="I1" t="s">
        <v>8</v>
      </c>
      <c r="J1" t="s">
        <v>27</v>
      </c>
      <c r="K1" t="s">
        <v>28</v>
      </c>
      <c r="L1" t="s">
        <v>29</v>
      </c>
      <c r="M1" t="s">
        <v>30</v>
      </c>
      <c r="N1" t="s">
        <v>31</v>
      </c>
      <c r="O1" t="s">
        <v>32</v>
      </c>
    </row>
    <row r="2" spans="1:15" x14ac:dyDescent="0.25">
      <c r="A2">
        <v>1001</v>
      </c>
      <c r="B2" s="1">
        <v>45669</v>
      </c>
      <c r="C2" s="2" t="s">
        <v>9</v>
      </c>
      <c r="D2" s="2" t="s">
        <v>10</v>
      </c>
      <c r="E2" s="2" t="s">
        <v>11</v>
      </c>
      <c r="F2" s="2" t="s">
        <v>12</v>
      </c>
      <c r="G2">
        <v>2</v>
      </c>
      <c r="H2">
        <v>55000</v>
      </c>
      <c r="I2">
        <v>10</v>
      </c>
      <c r="J2">
        <v>99000</v>
      </c>
      <c r="K2" s="2" t="s">
        <v>33</v>
      </c>
      <c r="L2">
        <v>2025</v>
      </c>
      <c r="M2">
        <v>69300</v>
      </c>
      <c r="N2">
        <v>29700</v>
      </c>
      <c r="O2">
        <v>0.3</v>
      </c>
    </row>
    <row r="3" spans="1:15" x14ac:dyDescent="0.25">
      <c r="A3">
        <v>1002</v>
      </c>
      <c r="B3" s="1">
        <v>45672</v>
      </c>
      <c r="C3" s="2" t="s">
        <v>13</v>
      </c>
      <c r="D3" s="2" t="s">
        <v>14</v>
      </c>
      <c r="E3" s="2" t="s">
        <v>15</v>
      </c>
      <c r="F3" s="2" t="s">
        <v>16</v>
      </c>
      <c r="G3">
        <v>5</v>
      </c>
      <c r="H3">
        <v>1200</v>
      </c>
      <c r="I3">
        <v>5</v>
      </c>
      <c r="J3">
        <v>5700</v>
      </c>
      <c r="K3" s="2" t="s">
        <v>33</v>
      </c>
      <c r="L3">
        <v>2025</v>
      </c>
      <c r="M3">
        <v>3989.9999999999995</v>
      </c>
      <c r="N3">
        <v>1710.0000000000005</v>
      </c>
      <c r="O3">
        <v>0.3</v>
      </c>
    </row>
    <row r="4" spans="1:15" x14ac:dyDescent="0.25">
      <c r="A4">
        <v>1003</v>
      </c>
      <c r="B4" s="1">
        <v>45675</v>
      </c>
      <c r="C4" s="2" t="s">
        <v>17</v>
      </c>
      <c r="D4" s="2" t="s">
        <v>18</v>
      </c>
      <c r="E4" s="2" t="s">
        <v>19</v>
      </c>
      <c r="F4" s="2" t="s">
        <v>16</v>
      </c>
      <c r="G4">
        <v>3</v>
      </c>
      <c r="H4">
        <v>2500</v>
      </c>
      <c r="I4">
        <v>0</v>
      </c>
      <c r="J4">
        <v>7500</v>
      </c>
      <c r="K4" s="2" t="s">
        <v>33</v>
      </c>
      <c r="L4">
        <v>2025</v>
      </c>
      <c r="M4">
        <v>5250</v>
      </c>
      <c r="N4">
        <v>2250</v>
      </c>
      <c r="O4">
        <v>0.3</v>
      </c>
    </row>
    <row r="5" spans="1:15" x14ac:dyDescent="0.25">
      <c r="A5">
        <v>1004</v>
      </c>
      <c r="B5" s="1">
        <v>45677</v>
      </c>
      <c r="C5" s="2" t="s">
        <v>20</v>
      </c>
      <c r="D5" s="2" t="s">
        <v>21</v>
      </c>
      <c r="E5" s="2" t="s">
        <v>22</v>
      </c>
      <c r="F5" s="2" t="s">
        <v>12</v>
      </c>
      <c r="G5">
        <v>1</v>
      </c>
      <c r="H5">
        <v>18000</v>
      </c>
      <c r="I5">
        <v>15</v>
      </c>
      <c r="J5">
        <v>15300</v>
      </c>
      <c r="K5" s="2" t="s">
        <v>33</v>
      </c>
      <c r="L5">
        <v>2025</v>
      </c>
      <c r="M5">
        <v>10710</v>
      </c>
      <c r="N5">
        <v>4590</v>
      </c>
      <c r="O5">
        <v>0.3</v>
      </c>
    </row>
    <row r="6" spans="1:15" x14ac:dyDescent="0.25">
      <c r="A6">
        <v>1005</v>
      </c>
      <c r="B6" s="1">
        <v>45682</v>
      </c>
      <c r="C6" s="2" t="s">
        <v>23</v>
      </c>
      <c r="D6" s="2" t="s">
        <v>10</v>
      </c>
      <c r="E6" s="2" t="s">
        <v>24</v>
      </c>
      <c r="F6" s="2" t="s">
        <v>12</v>
      </c>
      <c r="G6">
        <v>2</v>
      </c>
      <c r="H6">
        <v>9000</v>
      </c>
      <c r="I6">
        <v>10</v>
      </c>
      <c r="J6">
        <v>16200</v>
      </c>
      <c r="K6" s="2" t="s">
        <v>33</v>
      </c>
      <c r="L6">
        <v>2025</v>
      </c>
      <c r="M6">
        <v>11340</v>
      </c>
      <c r="N6">
        <v>4860</v>
      </c>
      <c r="O6">
        <v>0.3</v>
      </c>
    </row>
    <row r="7" spans="1:15" x14ac:dyDescent="0.25">
      <c r="A7">
        <v>1006</v>
      </c>
      <c r="B7" s="1">
        <v>45690</v>
      </c>
      <c r="C7" s="2" t="s">
        <v>25</v>
      </c>
      <c r="D7" s="2" t="s">
        <v>14</v>
      </c>
      <c r="E7" s="2" t="s">
        <v>26</v>
      </c>
      <c r="F7" s="2" t="s">
        <v>16</v>
      </c>
      <c r="G7">
        <v>4</v>
      </c>
      <c r="H7">
        <v>3500</v>
      </c>
      <c r="I7">
        <v>5</v>
      </c>
      <c r="J7">
        <v>13300</v>
      </c>
      <c r="K7" s="2" t="s">
        <v>34</v>
      </c>
      <c r="L7">
        <v>2025</v>
      </c>
      <c r="M7">
        <v>9310</v>
      </c>
      <c r="N7">
        <v>3990</v>
      </c>
      <c r="O7">
        <v>0.3</v>
      </c>
    </row>
    <row r="8" spans="1:15" x14ac:dyDescent="0.25">
      <c r="A8">
        <v>1007</v>
      </c>
      <c r="B8" s="1">
        <v>45693</v>
      </c>
      <c r="C8" s="2" t="s">
        <v>9</v>
      </c>
      <c r="D8" s="2" t="s">
        <v>18</v>
      </c>
      <c r="E8" s="2" t="s">
        <v>11</v>
      </c>
      <c r="F8" s="2" t="s">
        <v>12</v>
      </c>
      <c r="G8">
        <v>1</v>
      </c>
      <c r="H8">
        <v>60000</v>
      </c>
      <c r="I8">
        <v>12</v>
      </c>
      <c r="J8">
        <v>52800</v>
      </c>
      <c r="K8" s="2" t="s">
        <v>34</v>
      </c>
      <c r="L8">
        <v>2025</v>
      </c>
      <c r="M8">
        <v>36960</v>
      </c>
      <c r="N8">
        <v>15840</v>
      </c>
      <c r="O8">
        <v>0.3</v>
      </c>
    </row>
    <row r="9" spans="1:15" x14ac:dyDescent="0.25">
      <c r="A9">
        <v>1008</v>
      </c>
      <c r="B9" s="1">
        <v>45696</v>
      </c>
      <c r="C9" s="2" t="s">
        <v>13</v>
      </c>
      <c r="D9" s="2" t="s">
        <v>21</v>
      </c>
      <c r="E9" s="2" t="s">
        <v>15</v>
      </c>
      <c r="F9" s="2" t="s">
        <v>16</v>
      </c>
      <c r="G9">
        <v>6</v>
      </c>
      <c r="H9">
        <v>1100</v>
      </c>
      <c r="I9">
        <v>0</v>
      </c>
      <c r="J9">
        <v>6600</v>
      </c>
      <c r="K9" s="2" t="s">
        <v>34</v>
      </c>
      <c r="L9">
        <v>2025</v>
      </c>
      <c r="M9">
        <v>4620</v>
      </c>
      <c r="N9">
        <v>1980</v>
      </c>
      <c r="O9">
        <v>0.3</v>
      </c>
    </row>
    <row r="10" spans="1:15" x14ac:dyDescent="0.25">
      <c r="A10">
        <v>1009</v>
      </c>
      <c r="B10" s="1">
        <v>45698</v>
      </c>
      <c r="C10" s="2" t="s">
        <v>17</v>
      </c>
      <c r="D10" s="2" t="s">
        <v>10</v>
      </c>
      <c r="E10" s="2" t="s">
        <v>19</v>
      </c>
      <c r="F10" s="2" t="s">
        <v>16</v>
      </c>
      <c r="G10">
        <v>5</v>
      </c>
      <c r="H10">
        <v>2700</v>
      </c>
      <c r="I10">
        <v>5</v>
      </c>
      <c r="J10">
        <v>12825</v>
      </c>
      <c r="K10" s="2" t="s">
        <v>34</v>
      </c>
      <c r="L10">
        <v>2025</v>
      </c>
      <c r="M10">
        <v>8977.5</v>
      </c>
      <c r="N10">
        <v>3847.5</v>
      </c>
      <c r="O10">
        <v>0.3</v>
      </c>
    </row>
    <row r="11" spans="1:15" x14ac:dyDescent="0.25">
      <c r="A11">
        <v>1010</v>
      </c>
      <c r="B11" s="1">
        <v>45700</v>
      </c>
      <c r="C11" s="2" t="s">
        <v>20</v>
      </c>
      <c r="D11" s="2" t="s">
        <v>14</v>
      </c>
      <c r="E11" s="2" t="s">
        <v>22</v>
      </c>
      <c r="F11" s="2" t="s">
        <v>12</v>
      </c>
      <c r="G11">
        <v>2</v>
      </c>
      <c r="H11">
        <v>20000</v>
      </c>
      <c r="I11">
        <v>10</v>
      </c>
      <c r="J11">
        <v>36000</v>
      </c>
      <c r="K11" s="2" t="s">
        <v>34</v>
      </c>
      <c r="L11">
        <v>2025</v>
      </c>
      <c r="M11">
        <v>25200</v>
      </c>
      <c r="N11">
        <v>10800</v>
      </c>
      <c r="O11">
        <v>0.3</v>
      </c>
    </row>
    <row r="12" spans="1:15" x14ac:dyDescent="0.25">
      <c r="A12">
        <v>1011</v>
      </c>
      <c r="B12" s="1">
        <v>45703</v>
      </c>
      <c r="C12" s="2" t="s">
        <v>23</v>
      </c>
      <c r="D12" s="2" t="s">
        <v>18</v>
      </c>
      <c r="E12" s="2" t="s">
        <v>24</v>
      </c>
      <c r="F12" s="2" t="s">
        <v>12</v>
      </c>
      <c r="G12">
        <v>1</v>
      </c>
      <c r="H12">
        <v>9500</v>
      </c>
      <c r="I12">
        <v>8</v>
      </c>
      <c r="J12">
        <v>8740</v>
      </c>
      <c r="K12" s="2" t="s">
        <v>34</v>
      </c>
      <c r="L12">
        <v>2025</v>
      </c>
      <c r="M12">
        <v>6118</v>
      </c>
      <c r="N12">
        <v>2622</v>
      </c>
      <c r="O12">
        <v>0.3</v>
      </c>
    </row>
    <row r="13" spans="1:15" x14ac:dyDescent="0.25">
      <c r="A13">
        <v>1012</v>
      </c>
      <c r="B13" s="1">
        <v>45706</v>
      </c>
      <c r="C13" s="2" t="s">
        <v>25</v>
      </c>
      <c r="D13" s="2" t="s">
        <v>21</v>
      </c>
      <c r="E13" s="2" t="s">
        <v>26</v>
      </c>
      <c r="F13" s="2" t="s">
        <v>16</v>
      </c>
      <c r="G13">
        <v>3</v>
      </c>
      <c r="H13">
        <v>4000</v>
      </c>
      <c r="I13">
        <v>5</v>
      </c>
      <c r="J13">
        <v>11400</v>
      </c>
      <c r="K13" s="2" t="s">
        <v>34</v>
      </c>
      <c r="L13">
        <v>2025</v>
      </c>
      <c r="M13">
        <v>7979.9999999999991</v>
      </c>
      <c r="N13">
        <v>3420.0000000000009</v>
      </c>
      <c r="O13">
        <v>0.3</v>
      </c>
    </row>
    <row r="14" spans="1:15" x14ac:dyDescent="0.25">
      <c r="A14">
        <v>1013</v>
      </c>
      <c r="B14" s="1">
        <v>45710</v>
      </c>
      <c r="C14" s="2" t="s">
        <v>9</v>
      </c>
      <c r="D14" s="2" t="s">
        <v>10</v>
      </c>
      <c r="E14" s="2" t="s">
        <v>11</v>
      </c>
      <c r="F14" s="2" t="s">
        <v>12</v>
      </c>
      <c r="G14">
        <v>2</v>
      </c>
      <c r="H14">
        <v>58000</v>
      </c>
      <c r="I14">
        <v>10</v>
      </c>
      <c r="J14">
        <v>104400</v>
      </c>
      <c r="K14" s="2" t="s">
        <v>34</v>
      </c>
      <c r="L14">
        <v>2025</v>
      </c>
      <c r="M14">
        <v>73080</v>
      </c>
      <c r="N14">
        <v>31320</v>
      </c>
      <c r="O14">
        <v>0.3</v>
      </c>
    </row>
    <row r="15" spans="1:15" x14ac:dyDescent="0.25">
      <c r="A15">
        <v>1014</v>
      </c>
      <c r="B15" s="1">
        <v>45713</v>
      </c>
      <c r="C15" s="2" t="s">
        <v>13</v>
      </c>
      <c r="D15" s="2" t="s">
        <v>14</v>
      </c>
      <c r="E15" s="2" t="s">
        <v>15</v>
      </c>
      <c r="F15" s="2" t="s">
        <v>16</v>
      </c>
      <c r="G15">
        <v>8</v>
      </c>
      <c r="H15">
        <v>1300</v>
      </c>
      <c r="I15">
        <v>5</v>
      </c>
      <c r="J15">
        <v>9880</v>
      </c>
      <c r="K15" s="2" t="s">
        <v>34</v>
      </c>
      <c r="L15">
        <v>2025</v>
      </c>
      <c r="M15">
        <v>6916</v>
      </c>
      <c r="N15">
        <v>2964</v>
      </c>
      <c r="O15">
        <v>0.3</v>
      </c>
    </row>
    <row r="16" spans="1:15" x14ac:dyDescent="0.25">
      <c r="A16">
        <v>1015</v>
      </c>
      <c r="B16" s="1">
        <v>45716</v>
      </c>
      <c r="C16" s="2" t="s">
        <v>17</v>
      </c>
      <c r="D16" s="2" t="s">
        <v>18</v>
      </c>
      <c r="E16" s="2" t="s">
        <v>19</v>
      </c>
      <c r="F16" s="2" t="s">
        <v>16</v>
      </c>
      <c r="G16">
        <v>4</v>
      </c>
      <c r="H16">
        <v>2600</v>
      </c>
      <c r="I16">
        <v>0</v>
      </c>
      <c r="J16">
        <v>10400</v>
      </c>
      <c r="K16" s="2" t="s">
        <v>34</v>
      </c>
      <c r="L16">
        <v>2025</v>
      </c>
      <c r="M16">
        <v>7279.9999999999991</v>
      </c>
      <c r="N16">
        <v>3120.0000000000009</v>
      </c>
      <c r="O16">
        <v>0.3</v>
      </c>
    </row>
    <row r="17" spans="1:15" x14ac:dyDescent="0.25">
      <c r="A17">
        <v>1016</v>
      </c>
      <c r="B17" s="1">
        <v>45719</v>
      </c>
      <c r="C17" s="2" t="s">
        <v>20</v>
      </c>
      <c r="D17" s="2" t="s">
        <v>21</v>
      </c>
      <c r="E17" s="2" t="s">
        <v>22</v>
      </c>
      <c r="F17" s="2" t="s">
        <v>12</v>
      </c>
      <c r="G17">
        <v>1</v>
      </c>
      <c r="H17">
        <v>22000</v>
      </c>
      <c r="I17">
        <v>15</v>
      </c>
      <c r="J17">
        <v>18700</v>
      </c>
      <c r="K17" s="2" t="s">
        <v>35</v>
      </c>
      <c r="L17">
        <v>2025</v>
      </c>
      <c r="M17">
        <v>13090</v>
      </c>
      <c r="N17">
        <v>5610</v>
      </c>
      <c r="O17">
        <v>0.3</v>
      </c>
    </row>
    <row r="18" spans="1:15" x14ac:dyDescent="0.25">
      <c r="A18">
        <v>1017</v>
      </c>
      <c r="B18" s="1">
        <v>45722</v>
      </c>
      <c r="C18" s="2" t="s">
        <v>23</v>
      </c>
      <c r="D18" s="2" t="s">
        <v>10</v>
      </c>
      <c r="E18" s="2" t="s">
        <v>24</v>
      </c>
      <c r="F18" s="2" t="s">
        <v>12</v>
      </c>
      <c r="G18">
        <v>3</v>
      </c>
      <c r="H18">
        <v>8500</v>
      </c>
      <c r="I18">
        <v>10</v>
      </c>
      <c r="J18">
        <v>22950</v>
      </c>
      <c r="K18" s="2" t="s">
        <v>35</v>
      </c>
      <c r="L18">
        <v>2025</v>
      </c>
      <c r="M18">
        <v>16064.999999999998</v>
      </c>
      <c r="N18">
        <v>6885.0000000000018</v>
      </c>
      <c r="O18">
        <v>0.3</v>
      </c>
    </row>
    <row r="19" spans="1:15" x14ac:dyDescent="0.25">
      <c r="A19">
        <v>1018</v>
      </c>
      <c r="B19" s="1">
        <v>45725</v>
      </c>
      <c r="C19" s="2" t="s">
        <v>25</v>
      </c>
      <c r="D19" s="2" t="s">
        <v>14</v>
      </c>
      <c r="E19" s="2" t="s">
        <v>26</v>
      </c>
      <c r="F19" s="2" t="s">
        <v>16</v>
      </c>
      <c r="G19">
        <v>5</v>
      </c>
      <c r="H19">
        <v>3800</v>
      </c>
      <c r="I19">
        <v>5</v>
      </c>
      <c r="J19">
        <v>18050</v>
      </c>
      <c r="K19" s="2" t="s">
        <v>35</v>
      </c>
      <c r="L19">
        <v>2025</v>
      </c>
      <c r="M19">
        <v>12635</v>
      </c>
      <c r="N19">
        <v>5415</v>
      </c>
      <c r="O19">
        <v>0.3</v>
      </c>
    </row>
    <row r="20" spans="1:15" x14ac:dyDescent="0.25">
      <c r="A20">
        <v>1019</v>
      </c>
      <c r="B20" s="1">
        <v>45728</v>
      </c>
      <c r="C20" s="2" t="s">
        <v>9</v>
      </c>
      <c r="D20" s="2" t="s">
        <v>18</v>
      </c>
      <c r="E20" s="2" t="s">
        <v>11</v>
      </c>
      <c r="F20" s="2" t="s">
        <v>12</v>
      </c>
      <c r="G20">
        <v>1</v>
      </c>
      <c r="H20">
        <v>62000</v>
      </c>
      <c r="I20">
        <v>8</v>
      </c>
      <c r="J20">
        <v>57040</v>
      </c>
      <c r="K20" s="2" t="s">
        <v>35</v>
      </c>
      <c r="L20">
        <v>2025</v>
      </c>
      <c r="M20">
        <v>39928</v>
      </c>
      <c r="N20">
        <v>17112</v>
      </c>
      <c r="O20">
        <v>0.3</v>
      </c>
    </row>
    <row r="21" spans="1:15" x14ac:dyDescent="0.25">
      <c r="A21">
        <v>1020</v>
      </c>
      <c r="B21" s="1">
        <v>45731</v>
      </c>
      <c r="C21" s="2" t="s">
        <v>13</v>
      </c>
      <c r="D21" s="2" t="s">
        <v>21</v>
      </c>
      <c r="E21" s="2" t="s">
        <v>15</v>
      </c>
      <c r="F21" s="2" t="s">
        <v>16</v>
      </c>
      <c r="G21">
        <v>7</v>
      </c>
      <c r="H21">
        <v>1250</v>
      </c>
      <c r="I21">
        <v>0</v>
      </c>
      <c r="J21">
        <v>8750</v>
      </c>
      <c r="K21" s="2" t="s">
        <v>35</v>
      </c>
      <c r="L21">
        <v>2025</v>
      </c>
      <c r="M21">
        <v>6125</v>
      </c>
      <c r="N21">
        <v>2625</v>
      </c>
      <c r="O21">
        <v>0.3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DC095-7ADD-4455-82CC-A04415E05D03}">
  <dimension ref="A2:J12"/>
  <sheetViews>
    <sheetView tabSelected="1" workbookViewId="0">
      <selection activeCell="G2" sqref="G2"/>
    </sheetView>
  </sheetViews>
  <sheetFormatPr defaultRowHeight="15" x14ac:dyDescent="0.25"/>
  <cols>
    <col min="1" max="1" width="15.7109375" style="7" customWidth="1"/>
    <col min="2" max="2" width="13.42578125" style="8" customWidth="1"/>
    <col min="3" max="3" width="14.5703125" style="7" customWidth="1"/>
    <col min="4" max="4" width="20.42578125" style="7" customWidth="1"/>
    <col min="5" max="9" width="9.140625" style="7"/>
    <col min="10" max="16384" width="9.140625" style="6"/>
  </cols>
  <sheetData>
    <row r="2" spans="1:10" x14ac:dyDescent="0.25">
      <c r="A2" s="6"/>
      <c r="B2" s="6"/>
      <c r="C2" s="6"/>
      <c r="D2" s="6"/>
    </row>
    <row r="3" spans="1:10" x14ac:dyDescent="0.25">
      <c r="A3" s="6"/>
      <c r="B3" s="6"/>
      <c r="C3" s="6"/>
      <c r="D3" s="6"/>
      <c r="E3" s="6"/>
      <c r="F3" s="6"/>
      <c r="G3" s="6"/>
      <c r="H3" s="6"/>
      <c r="I3" s="6"/>
    </row>
    <row r="4" spans="1:10" x14ac:dyDescent="0.25">
      <c r="B4" s="6"/>
      <c r="C4" s="6"/>
      <c r="D4" s="6"/>
      <c r="E4" s="6"/>
      <c r="J4" s="7"/>
    </row>
    <row r="5" spans="1:10" x14ac:dyDescent="0.25">
      <c r="B5" s="7"/>
      <c r="C5" s="8"/>
      <c r="J5" s="7"/>
    </row>
    <row r="6" spans="1:10" x14ac:dyDescent="0.25">
      <c r="B6" s="7"/>
      <c r="C6" s="8"/>
      <c r="J6" s="7"/>
    </row>
    <row r="7" spans="1:10" x14ac:dyDescent="0.25">
      <c r="B7" s="7"/>
      <c r="C7" s="8"/>
      <c r="J7" s="7"/>
    </row>
    <row r="8" spans="1:10" x14ac:dyDescent="0.25">
      <c r="B8" s="7"/>
      <c r="C8" s="8"/>
      <c r="J8" s="7"/>
    </row>
    <row r="9" spans="1:10" x14ac:dyDescent="0.25">
      <c r="B9" s="7"/>
      <c r="C9" s="8"/>
      <c r="J9" s="7"/>
    </row>
    <row r="10" spans="1:10" x14ac:dyDescent="0.25">
      <c r="B10" s="7"/>
      <c r="C10" s="8"/>
      <c r="J10" s="7"/>
    </row>
    <row r="11" spans="1:10" x14ac:dyDescent="0.25">
      <c r="B11" s="7"/>
      <c r="C11" s="8"/>
      <c r="J11" s="7"/>
    </row>
    <row r="12" spans="1:10" x14ac:dyDescent="0.25">
      <c r="B12" s="7"/>
      <c r="C12" s="8"/>
      <c r="J12"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0F6C11-0D4E-4382-AE64-C39DBDFA004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Sheet5</vt:lpstr>
      <vt:lpstr>Sheet6</vt:lpstr>
      <vt:lpstr>Sheet7</vt:lpstr>
      <vt:lpstr>Sheet2</vt:lpstr>
      <vt:lpstr>Sheet3</vt:lpstr>
      <vt:lpstr>Sheet8</vt:lpstr>
      <vt:lpstr>Sheet9</vt:lpstr>
      <vt:lpstr>Sheet10</vt:lpstr>
      <vt:lpstr>Sheet4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2026-06-06T12:38:49Z</dcterms:created>
  <dcterms:modified xsi:type="dcterms:W3CDTF">2026-06-09T11:08:53Z</dcterms:modified>
</cp:coreProperties>
</file>